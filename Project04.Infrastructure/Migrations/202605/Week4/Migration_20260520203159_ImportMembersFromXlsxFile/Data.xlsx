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60698B85-89C8-4A66-9DB6-42E9C8257E1F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Bilan Financier FPM-237" sheetId="1" r:id="rId1"/>
    <sheet name="Contributions hebdomadiare" sheetId="7" r:id="rId2"/>
    <sheet name="Assurance-Achat matériel" sheetId="6" r:id="rId3"/>
    <sheet name="Oeufs-Boissons" sheetId="8" r:id="rId4"/>
    <sheet name="Identité membres" sheetId="4" r:id="rId5"/>
    <sheet name="Contribution Annuelle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9" l="1"/>
  <c r="B65" i="9"/>
  <c r="J5" i="1"/>
  <c r="B72" i="6"/>
  <c r="E58" i="6"/>
  <c r="D58" i="6"/>
  <c r="A39" i="6"/>
  <c r="C58" i="1"/>
  <c r="D58" i="1"/>
  <c r="B58" i="1"/>
  <c r="P60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R2" i="7"/>
  <c r="R58" i="7" s="1"/>
  <c r="K60" i="7"/>
  <c r="A33" i="6"/>
  <c r="C60" i="7"/>
  <c r="D60" i="7"/>
  <c r="E60" i="7"/>
  <c r="F60" i="7"/>
  <c r="G60" i="7"/>
  <c r="H60" i="7"/>
  <c r="I60" i="7"/>
  <c r="J60" i="7"/>
  <c r="L60" i="7"/>
  <c r="M60" i="7"/>
  <c r="N60" i="7"/>
  <c r="O60" i="7"/>
  <c r="B60" i="7"/>
  <c r="C58" i="7"/>
  <c r="D58" i="7"/>
  <c r="E58" i="7"/>
  <c r="F58" i="7"/>
  <c r="G58" i="7"/>
  <c r="H58" i="7"/>
  <c r="I58" i="7"/>
  <c r="J58" i="7"/>
  <c r="B58" i="7"/>
  <c r="C58" i="6"/>
  <c r="E1" i="8"/>
  <c r="H1" i="8"/>
  <c r="K1" i="8"/>
  <c r="B1" i="8"/>
  <c r="A27" i="7"/>
  <c r="A27" i="6"/>
  <c r="B58" i="6"/>
  <c r="B60" i="6" s="1"/>
  <c r="A28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B1" i="7"/>
  <c r="A11" i="6"/>
  <c r="A2" i="7"/>
  <c r="A2" i="6"/>
  <c r="C1" i="7"/>
  <c r="D1" i="7"/>
  <c r="E1" i="7"/>
  <c r="F1" i="7"/>
  <c r="G1" i="7"/>
  <c r="H1" i="7"/>
  <c r="I1" i="7"/>
  <c r="J1" i="7"/>
  <c r="K1" i="7"/>
  <c r="L1" i="7"/>
  <c r="M1" i="7"/>
  <c r="A3" i="6"/>
  <c r="A4" i="6"/>
  <c r="A5" i="6"/>
  <c r="A6" i="6"/>
  <c r="A7" i="6"/>
  <c r="A8" i="6"/>
  <c r="A9" i="6"/>
  <c r="A10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8" i="6"/>
  <c r="A29" i="6"/>
  <c r="A30" i="6"/>
  <c r="A31" i="6"/>
  <c r="A32" i="6"/>
  <c r="A34" i="6"/>
  <c r="A35" i="6"/>
  <c r="A36" i="6"/>
  <c r="A37" i="6"/>
  <c r="A38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J13" i="1"/>
  <c r="C68" i="1"/>
  <c r="C69" i="1"/>
  <c r="C67" i="1"/>
  <c r="D67" i="1"/>
  <c r="D69" i="1"/>
  <c r="E67" i="1"/>
  <c r="B67" i="1"/>
  <c r="B69" i="1"/>
  <c r="C71" i="1"/>
  <c r="E58" i="1"/>
  <c r="B60" i="1"/>
  <c r="J15" i="1"/>
  <c r="B74" i="6"/>
  <c r="B63" i="7"/>
  <c r="B70" i="9" l="1"/>
  <c r="B98" i="9" s="1"/>
</calcChain>
</file>

<file path=xl/sharedStrings.xml><?xml version="1.0" encoding="utf-8"?>
<sst xmlns="http://schemas.openxmlformats.org/spreadsheetml/2006/main" count="864" uniqueCount="259">
  <si>
    <t>Nom</t>
  </si>
  <si>
    <t>Adhésion</t>
  </si>
  <si>
    <t>Maillots</t>
  </si>
  <si>
    <t>Assurance</t>
  </si>
  <si>
    <t>Match Paris</t>
  </si>
  <si>
    <t>Match Avril</t>
  </si>
  <si>
    <t>DEPENSES</t>
  </si>
  <si>
    <t>Big Pat (président)</t>
  </si>
  <si>
    <t>Achats Ballons</t>
  </si>
  <si>
    <t>Elock Son</t>
  </si>
  <si>
    <t>Chasubles</t>
  </si>
  <si>
    <t>Matic</t>
  </si>
  <si>
    <t>Patrick Dr</t>
  </si>
  <si>
    <t>Marco</t>
  </si>
  <si>
    <t>Match Cologne</t>
  </si>
  <si>
    <t>Collence</t>
  </si>
  <si>
    <t>Cages de but</t>
  </si>
  <si>
    <t>Tchape</t>
  </si>
  <si>
    <t>Assurance 2023</t>
  </si>
  <si>
    <t>Patrick T (Bonificateur)</t>
  </si>
  <si>
    <t>x</t>
  </si>
  <si>
    <t>Sandwichs Volkrange</t>
  </si>
  <si>
    <t>William</t>
  </si>
  <si>
    <t>Versé à Ismael</t>
  </si>
  <si>
    <t>Fabrice</t>
  </si>
  <si>
    <t>Virement MAIF (Assu 1er trim. 2024)</t>
  </si>
  <si>
    <t>Ismael</t>
  </si>
  <si>
    <t>Tournoi Longwy</t>
  </si>
  <si>
    <t>Eric B</t>
  </si>
  <si>
    <t>TOTAL DEPENSES :</t>
  </si>
  <si>
    <t>Christian Pépé</t>
  </si>
  <si>
    <t>Kevin</t>
  </si>
  <si>
    <t xml:space="preserve">TOTAL EN CAISSE : </t>
  </si>
  <si>
    <t>Boris</t>
  </si>
  <si>
    <t>Esaie</t>
  </si>
  <si>
    <t>Franck K</t>
  </si>
  <si>
    <t>Stéphane TATSINKOU</t>
  </si>
  <si>
    <t>Thierry A</t>
  </si>
  <si>
    <t>De Souza</t>
  </si>
  <si>
    <t>Arnaud K</t>
  </si>
  <si>
    <t>Christian N</t>
  </si>
  <si>
    <t>Poka</t>
  </si>
  <si>
    <t>André Bilong</t>
  </si>
  <si>
    <t>Amza</t>
  </si>
  <si>
    <t>Gaby</t>
  </si>
  <si>
    <t>Thierry G</t>
  </si>
  <si>
    <t>Claude</t>
  </si>
  <si>
    <t>Pounds</t>
  </si>
  <si>
    <t>Alex K</t>
  </si>
  <si>
    <t>Soumah</t>
  </si>
  <si>
    <t>Ghislain W</t>
  </si>
  <si>
    <t>Patrick Nkodo</t>
  </si>
  <si>
    <t>Alex D</t>
  </si>
  <si>
    <t>Joseph Steve</t>
  </si>
  <si>
    <t>Emana</t>
  </si>
  <si>
    <t>Verratti</t>
  </si>
  <si>
    <t>Benoit</t>
  </si>
  <si>
    <t>David Eboutou</t>
  </si>
  <si>
    <t>Habré</t>
  </si>
  <si>
    <t>Lionel T</t>
  </si>
  <si>
    <t>Christian Dana</t>
  </si>
  <si>
    <t>Christian Alain (Banquier)</t>
  </si>
  <si>
    <t>Dominique Thionville</t>
  </si>
  <si>
    <t>Patrick Mbamba</t>
  </si>
  <si>
    <t>Jean Kegne</t>
  </si>
  <si>
    <t>Philomon K</t>
  </si>
  <si>
    <t>Detcho</t>
  </si>
  <si>
    <t>Stéphane D</t>
  </si>
  <si>
    <t>Big Hervé (Préfet)</t>
  </si>
  <si>
    <t>Joel Hans</t>
  </si>
  <si>
    <t>Christophe</t>
  </si>
  <si>
    <t>Ledoux</t>
  </si>
  <si>
    <t>Steve (Nganou)</t>
  </si>
  <si>
    <t>TOTAL</t>
  </si>
  <si>
    <t>TOTAL COTISES</t>
  </si>
  <si>
    <t>LEGENDE :</t>
  </si>
  <si>
    <t>Somme obligatoire</t>
  </si>
  <si>
    <t>Compte incomplet</t>
  </si>
  <si>
    <t>Colone Non Obligatoire</t>
  </si>
  <si>
    <t>x : pas cotisé</t>
  </si>
  <si>
    <t>A Récupérer</t>
  </si>
  <si>
    <t>Total</t>
  </si>
  <si>
    <t>Noms / Dates</t>
  </si>
  <si>
    <t>19/05/24</t>
  </si>
  <si>
    <t>26/05/24</t>
  </si>
  <si>
    <t>TOTAUX</t>
  </si>
  <si>
    <t>X</t>
  </si>
  <si>
    <t>Steve</t>
  </si>
  <si>
    <t>Eusebio</t>
  </si>
  <si>
    <t>Nb Présents</t>
  </si>
  <si>
    <t>Montant cotisé</t>
  </si>
  <si>
    <t>TOTAL en CAISSE</t>
  </si>
  <si>
    <t>LEGENDE:</t>
  </si>
  <si>
    <t>Joué mais n'a pas cotisé</t>
  </si>
  <si>
    <t>Absent (x)</t>
  </si>
  <si>
    <t>Membre</t>
  </si>
  <si>
    <t>Assu 2024</t>
  </si>
  <si>
    <t>Achat Matériel</t>
  </si>
  <si>
    <t>Match retour Longwy</t>
  </si>
  <si>
    <t>Steve Bidjou</t>
  </si>
  <si>
    <t>Ami benoit</t>
  </si>
  <si>
    <t>TOTAUX ASSU &amp; COTI ANN</t>
  </si>
  <si>
    <t>VIREMENT MAIF 04/03/24</t>
  </si>
  <si>
    <t>VIREMENT MAIF 03/04/24</t>
  </si>
  <si>
    <t>ACHAT BALLONS</t>
  </si>
  <si>
    <t>VIREMENT MAIF 30/04/24</t>
  </si>
  <si>
    <t>Match longwy 28/04/24</t>
  </si>
  <si>
    <t>Match retour longwy</t>
  </si>
  <si>
    <t>Paaiement enr. au registre</t>
  </si>
  <si>
    <t>TOTAL DEPENSES</t>
  </si>
  <si>
    <t>RESTE EN CAISSE</t>
  </si>
  <si>
    <t>17/03/2024</t>
  </si>
  <si>
    <t>24/03/2024</t>
  </si>
  <si>
    <t>31/03/2024</t>
  </si>
  <si>
    <t>14/04/2024</t>
  </si>
  <si>
    <t>21/04/2024</t>
  </si>
  <si>
    <t>28/04/2024</t>
  </si>
  <si>
    <t>Oeufs</t>
  </si>
  <si>
    <t>Boissons</t>
  </si>
  <si>
    <t>Jeu</t>
  </si>
  <si>
    <t>Prénom</t>
  </si>
  <si>
    <t>Surnom</t>
  </si>
  <si>
    <t>Localité</t>
  </si>
  <si>
    <t>Telephone</t>
  </si>
  <si>
    <t>Patrick</t>
  </si>
  <si>
    <t>NJIWOUA</t>
  </si>
  <si>
    <t>Président</t>
  </si>
  <si>
    <t>Thionville</t>
  </si>
  <si>
    <t>Celestin</t>
  </si>
  <si>
    <t>ELOCK SON</t>
  </si>
  <si>
    <t>Metz</t>
  </si>
  <si>
    <t>KAMCHE</t>
  </si>
  <si>
    <t>Nancy</t>
  </si>
  <si>
    <t>+33758111145</t>
  </si>
  <si>
    <t>NYAT</t>
  </si>
  <si>
    <t>Marc</t>
  </si>
  <si>
    <t>KOUOH</t>
  </si>
  <si>
    <t>DONFACK</t>
  </si>
  <si>
    <t>Yannick</t>
  </si>
  <si>
    <t>TCHAPE</t>
  </si>
  <si>
    <t>Williams</t>
  </si>
  <si>
    <t>TAKALA</t>
  </si>
  <si>
    <t>TSAKOU</t>
  </si>
  <si>
    <t>Lukaku</t>
  </si>
  <si>
    <t>Luxembourg</t>
  </si>
  <si>
    <t>DJOUKOUE</t>
  </si>
  <si>
    <t>Eric</t>
  </si>
  <si>
    <t>BOGNE</t>
  </si>
  <si>
    <t>Talange</t>
  </si>
  <si>
    <t>Christian</t>
  </si>
  <si>
    <t>LEUKAM</t>
  </si>
  <si>
    <t>BOUANI</t>
  </si>
  <si>
    <t>DJEMI</t>
  </si>
  <si>
    <t>Bafia</t>
  </si>
  <si>
    <t>Thierry</t>
  </si>
  <si>
    <t>AMBASSA</t>
  </si>
  <si>
    <t>Arnaud</t>
  </si>
  <si>
    <t>KOUDJOU</t>
  </si>
  <si>
    <t>NANYIM</t>
  </si>
  <si>
    <t>Ulrich</t>
  </si>
  <si>
    <t>POKA</t>
  </si>
  <si>
    <t>+352661285661</t>
  </si>
  <si>
    <t xml:space="preserve"> GWETA</t>
  </si>
  <si>
    <t>André</t>
  </si>
  <si>
    <t>BILONG</t>
  </si>
  <si>
    <t>La Pépite</t>
  </si>
  <si>
    <t>Alex</t>
  </si>
  <si>
    <t xml:space="preserve"> KENNE</t>
  </si>
  <si>
    <t>NKOMO</t>
  </si>
  <si>
    <t>Oscar</t>
  </si>
  <si>
    <t>TEMATIO</t>
  </si>
  <si>
    <t>BAHEL</t>
  </si>
  <si>
    <t>Marcelo</t>
  </si>
  <si>
    <t>Mbappé</t>
  </si>
  <si>
    <t>DJIOMENE</t>
  </si>
  <si>
    <t>NKODO</t>
  </si>
  <si>
    <t>Le Pro</t>
  </si>
  <si>
    <t>Stéphane</t>
  </si>
  <si>
    <t>TATSINKOU</t>
  </si>
  <si>
    <t>Doc</t>
  </si>
  <si>
    <t>Forbach</t>
  </si>
  <si>
    <t>Gabriel</t>
  </si>
  <si>
    <t>TSIDIE</t>
  </si>
  <si>
    <t>Mohamed</t>
  </si>
  <si>
    <t>SOUMAH</t>
  </si>
  <si>
    <t>Momo</t>
  </si>
  <si>
    <t>SICHELA</t>
  </si>
  <si>
    <t>Franck</t>
  </si>
  <si>
    <t>KOUATE</t>
  </si>
  <si>
    <t>MBEGA</t>
  </si>
  <si>
    <t>Ghislain</t>
  </si>
  <si>
    <t>WANDJI</t>
  </si>
  <si>
    <t>Patrick T</t>
  </si>
  <si>
    <t>Bonificateur</t>
  </si>
  <si>
    <t>Philémon K</t>
  </si>
  <si>
    <t>Jean</t>
  </si>
  <si>
    <t>KEGNE</t>
  </si>
  <si>
    <t>JK</t>
  </si>
  <si>
    <t>Big Hervé</t>
  </si>
  <si>
    <t>Préfet</t>
  </si>
  <si>
    <t>NOMS</t>
  </si>
  <si>
    <t>Année 2025</t>
  </si>
  <si>
    <t>Big Pat (Prési)</t>
  </si>
  <si>
    <t>Big Marco</t>
  </si>
  <si>
    <t>Claude M</t>
  </si>
  <si>
    <t>Bilong</t>
  </si>
  <si>
    <t>Davies</t>
  </si>
  <si>
    <t>Eric Emana</t>
  </si>
  <si>
    <t>Ben Amza</t>
  </si>
  <si>
    <t>Thierry Ambassa</t>
  </si>
  <si>
    <t>Gael</t>
  </si>
  <si>
    <t>David Eyango</t>
  </si>
  <si>
    <t>Alex Djiomene</t>
  </si>
  <si>
    <t>Big Ismael</t>
  </si>
  <si>
    <t>Steve Matic</t>
  </si>
  <si>
    <t>Big Christopher</t>
  </si>
  <si>
    <t>Patrick Nyat</t>
  </si>
  <si>
    <t>Thierry Gweta</t>
  </si>
  <si>
    <t>Hamadou</t>
  </si>
  <si>
    <t>Big Aziz</t>
  </si>
  <si>
    <t>Melvin</t>
  </si>
  <si>
    <t>Sander</t>
  </si>
  <si>
    <t>Boris Bafia</t>
  </si>
  <si>
    <t>Stéphane Monthé</t>
  </si>
  <si>
    <t>Guy Tardivel</t>
  </si>
  <si>
    <t>Eusobio</t>
  </si>
  <si>
    <t>Clefton</t>
  </si>
  <si>
    <t>Ivan B</t>
  </si>
  <si>
    <t>Dany Bio</t>
  </si>
  <si>
    <t>Ousserou</t>
  </si>
  <si>
    <t>Riddick</t>
  </si>
  <si>
    <t>Ibrahim Onana</t>
  </si>
  <si>
    <t>Dacko</t>
  </si>
  <si>
    <t>Ivo</t>
  </si>
  <si>
    <t>Stéphane Dr</t>
  </si>
  <si>
    <t xml:space="preserve">Sylla </t>
  </si>
  <si>
    <t>Camara</t>
  </si>
  <si>
    <t>PH</t>
  </si>
  <si>
    <t>RESTE EN CAISSE 2023</t>
  </si>
  <si>
    <t>RESTE EN CAISSE 2024</t>
  </si>
  <si>
    <t>TOTAL EN CAISSE</t>
  </si>
  <si>
    <t>Match contre 2-0 Lux</t>
  </si>
  <si>
    <t>Assurance MAIF</t>
  </si>
  <si>
    <t>Achat des Chasubles</t>
  </si>
  <si>
    <t>Match contre Longwy</t>
  </si>
  <si>
    <t>Trousse Médicale</t>
  </si>
  <si>
    <t>Affiliation à la League</t>
  </si>
  <si>
    <t>Facture eaux et Jus à Reims</t>
  </si>
  <si>
    <t>Match Amical contre Paris</t>
  </si>
  <si>
    <t>Match retour contre 2-0 Lux</t>
  </si>
  <si>
    <t>Match Amical contre Cap Vert</t>
  </si>
  <si>
    <t>Achat maillot (avanace)</t>
  </si>
  <si>
    <t>Eau 1er match de la league</t>
  </si>
  <si>
    <t>Adhésion salle pour l'AG</t>
  </si>
  <si>
    <t>Licences FFF</t>
  </si>
  <si>
    <t>Reste maillot + flocage</t>
  </si>
  <si>
    <t>Match contre Sénégal</t>
  </si>
  <si>
    <t>Match Contre Gambie</t>
  </si>
  <si>
    <t>Travaux Club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</si>
</sst>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&quot;€&quot;;[Red]\-#,##0\ &quot;€&quot;"/>
    <numFmt numFmtId="165" formatCode="#,##0.00\ &quot;€&quot;;[Red]\-#,##0.00\ &quot;€&quot;"/>
    <numFmt numFmtId="166" formatCode="_-* #,##0\ &quot;€&quot;_-;\-* #,##0\ &quot;€&quot;_-;_-* &quot;-&quot;\ &quot;€&quot;_-;_-@_-"/>
    <numFmt numFmtId="167" formatCode="#,##0.00\ [$€-1];[Red]#,##0.00\ [$€-1]"/>
    <numFmt numFmtId="168" formatCode="dd/mm/yy;@"/>
    <numFmt numFmtId="169" formatCode="#,##0.00\ &quot;€&quot;"/>
    <numFmt numFmtId="170" formatCode="_-* #,##0.00\ [$€-40C]_-;\-* #,##0.00\ [$€-40C]_-;_-* &quot;-&quot;??\ [$€-40C]_-;_-@_-"/>
    <numFmt numFmtId="171" formatCode="#,##0\ &quot;€&quot;"/>
  </numFmts>
  <fonts count="28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theme="1"/>
      <name val="Times New Roman"/>
    </font>
    <font>
      <sz val="12"/>
      <color rgb="FF00B050"/>
      <name val="Times New Roman"/>
    </font>
    <font>
      <b/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2"/>
      <color rgb="FFFF0000"/>
      <name val="Times New Roman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rebuchet MS"/>
    </font>
    <font>
      <sz val="12"/>
      <color theme="1"/>
      <name val="Trebuchet MS"/>
    </font>
    <font>
      <sz val="12"/>
      <color rgb="FF00B050"/>
      <name val="Trebuchet MS"/>
    </font>
    <font>
      <b/>
      <sz val="12"/>
      <color rgb="FF00B050"/>
      <name val="Trebuchet MS"/>
    </font>
    <font>
      <b/>
      <sz val="12"/>
      <color theme="1" tint="4.9989318521683403E-2"/>
      <name val="Trebuchet MS"/>
    </font>
    <font>
      <sz val="12"/>
      <color theme="1" tint="4.9989318521683403E-2"/>
      <name val="Trebuchet MS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rgb="FF000000"/>
      <name val="Calibri"/>
      <scheme val="minor"/>
    </font>
    <font>
      <b/>
      <sz val="11"/>
      <color rgb="FF00B050"/>
      <name val="Calibri"/>
      <family val="2"/>
      <scheme val="minor"/>
    </font>
    <font>
      <b/>
      <sz val="12"/>
      <color rgb="FFFF0000"/>
      <name val="Trebuchet MS"/>
    </font>
    <font>
      <b/>
      <sz val="12"/>
      <color rgb="FFFF0000"/>
      <name val="Times New Roman"/>
    </font>
    <font>
      <b/>
      <sz val="12"/>
      <color theme="7" tint="-0.249977111117893"/>
      <name val="Trebuchet MS"/>
    </font>
    <font>
      <b/>
      <sz val="12"/>
      <color theme="7" tint="-0.249977111117893"/>
      <name val="Times New Roman"/>
    </font>
    <font>
      <b/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/>
    <xf numFmtId="0" fontId="2" fillId="5" borderId="0" xfId="0" applyFont="1" applyFill="1"/>
    <xf numFmtId="0" fontId="2" fillId="3" borderId="0" xfId="0" applyFont="1" applyFill="1"/>
    <xf numFmtId="0" fontId="4" fillId="0" borderId="0" xfId="0" applyFont="1"/>
    <xf numFmtId="167" fontId="2" fillId="0" borderId="0" xfId="0" applyNumberFormat="1" applyFont="1" applyAlignment="1">
      <alignment horizontal="center"/>
    </xf>
    <xf numFmtId="167" fontId="4" fillId="3" borderId="0" xfId="0" applyNumberFormat="1" applyFont="1" applyFill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7" fontId="2" fillId="3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167" fontId="2" fillId="5" borderId="0" xfId="0" applyNumberFormat="1" applyFont="1" applyFill="1" applyAlignment="1">
      <alignment horizontal="center"/>
    </xf>
    <xf numFmtId="167" fontId="0" fillId="0" borderId="0" xfId="0" applyNumberFormat="1"/>
    <xf numFmtId="167" fontId="4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4" fillId="4" borderId="0" xfId="0" applyNumberFormat="1" applyFont="1" applyFill="1" applyAlignment="1">
      <alignment horizontal="center"/>
    </xf>
    <xf numFmtId="167" fontId="2" fillId="0" borderId="0" xfId="0" applyNumberFormat="1" applyFont="1"/>
    <xf numFmtId="167" fontId="4" fillId="0" borderId="0" xfId="0" applyNumberFormat="1" applyFont="1"/>
    <xf numFmtId="167" fontId="4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0" fillId="0" borderId="2" xfId="0" applyBorder="1"/>
    <xf numFmtId="167" fontId="6" fillId="0" borderId="5" xfId="0" applyNumberFormat="1" applyFont="1" applyBorder="1" applyAlignment="1">
      <alignment horizontal="center"/>
    </xf>
    <xf numFmtId="167" fontId="6" fillId="8" borderId="6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1" xfId="0" applyFont="1" applyBorder="1" applyAlignment="1">
      <alignment horizontal="left" indent="1"/>
    </xf>
    <xf numFmtId="167" fontId="7" fillId="0" borderId="3" xfId="0" applyNumberFormat="1" applyFont="1" applyBorder="1" applyAlignment="1">
      <alignment horizontal="center" vertical="center"/>
    </xf>
    <xf numFmtId="167" fontId="8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7" fontId="0" fillId="0" borderId="0" xfId="0" applyNumberFormat="1" applyAlignment="1">
      <alignment horizontal="center"/>
    </xf>
    <xf numFmtId="167" fontId="2" fillId="9" borderId="0" xfId="0" applyNumberFormat="1" applyFont="1" applyFill="1" applyAlignment="1">
      <alignment horizontal="center"/>
    </xf>
    <xf numFmtId="167" fontId="4" fillId="9" borderId="0" xfId="0" applyNumberFormat="1" applyFont="1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168" fontId="9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11" borderId="0" xfId="0" applyFont="1" applyFill="1" applyAlignment="1">
      <alignment horizontal="left"/>
    </xf>
    <xf numFmtId="0" fontId="10" fillId="13" borderId="0" xfId="0" applyFont="1" applyFill="1" applyAlignment="1">
      <alignment horizontal="left"/>
    </xf>
    <xf numFmtId="169" fontId="10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0" fontId="13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10" borderId="0" xfId="0" applyFont="1" applyFill="1"/>
    <xf numFmtId="16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6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3" fillId="10" borderId="0" xfId="0" applyNumberFormat="1" applyFont="1" applyFill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13" fillId="14" borderId="0" xfId="0" applyFont="1" applyFill="1" applyAlignment="1">
      <alignment horizontal="center" vertical="center"/>
    </xf>
    <xf numFmtId="168" fontId="10" fillId="5" borderId="0" xfId="0" applyNumberFormat="1" applyFont="1" applyFill="1" applyAlignment="1">
      <alignment horizontal="center"/>
    </xf>
    <xf numFmtId="168" fontId="10" fillId="13" borderId="0" xfId="0" applyNumberFormat="1" applyFont="1" applyFill="1" applyAlignment="1">
      <alignment horizontal="center"/>
    </xf>
    <xf numFmtId="168" fontId="10" fillId="15" borderId="0" xfId="0" applyNumberFormat="1" applyFont="1" applyFill="1" applyAlignment="1">
      <alignment horizontal="center"/>
    </xf>
    <xf numFmtId="0" fontId="9" fillId="16" borderId="0" xfId="0" applyFont="1" applyFill="1" applyAlignment="1">
      <alignment horizontal="center" vertical="center"/>
    </xf>
    <xf numFmtId="168" fontId="10" fillId="17" borderId="0" xfId="0" applyNumberFormat="1" applyFont="1" applyFill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9" fillId="4" borderId="0" xfId="0" applyFont="1" applyFill="1" applyAlignment="1">
      <alignment horizontal="center"/>
    </xf>
    <xf numFmtId="170" fontId="18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69" fontId="10" fillId="18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170" fontId="19" fillId="0" borderId="0" xfId="0" applyNumberFormat="1" applyFont="1"/>
    <xf numFmtId="167" fontId="20" fillId="0" borderId="0" xfId="0" applyNumberFormat="1" applyFont="1" applyAlignment="1">
      <alignment horizontal="center"/>
    </xf>
    <xf numFmtId="14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70" fontId="19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/>
    </xf>
    <xf numFmtId="1" fontId="19" fillId="0" borderId="2" xfId="0" applyNumberFormat="1" applyFont="1" applyBorder="1" applyAlignment="1">
      <alignment horizontal="center"/>
    </xf>
    <xf numFmtId="169" fontId="19" fillId="0" borderId="3" xfId="0" applyNumberFormat="1" applyFont="1" applyBorder="1" applyAlignment="1">
      <alignment horizontal="center"/>
    </xf>
    <xf numFmtId="0" fontId="13" fillId="19" borderId="0" xfId="0" applyFont="1" applyFill="1" applyAlignment="1">
      <alignment horizontal="center" vertical="center"/>
    </xf>
    <xf numFmtId="169" fontId="21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center"/>
    </xf>
    <xf numFmtId="167" fontId="2" fillId="20" borderId="0" xfId="0" applyNumberFormat="1" applyFont="1" applyFill="1" applyAlignment="1">
      <alignment horizontal="center"/>
    </xf>
    <xf numFmtId="0" fontId="9" fillId="21" borderId="0" xfId="0" applyFont="1" applyFill="1" applyAlignment="1">
      <alignment horizontal="center" vertical="center"/>
    </xf>
    <xf numFmtId="169" fontId="10" fillId="21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0" fontId="24" fillId="22" borderId="0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 applyFill="1" applyBorder="1" applyAlignment="1">
      <alignment horizontal="center"/>
    </xf>
    <xf numFmtId="0" fontId="23" fillId="12" borderId="0" xfId="0" applyFont="1" applyFill="1" applyBorder="1" applyAlignment="1">
      <alignment horizontal="center"/>
    </xf>
    <xf numFmtId="0" fontId="27" fillId="12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3" fillId="5" borderId="0" xfId="0" applyFont="1" applyFill="1" applyBorder="1" applyAlignment="1">
      <alignment horizontal="center"/>
    </xf>
    <xf numFmtId="0" fontId="23" fillId="24" borderId="0" xfId="0" applyFont="1" applyFill="1" applyBorder="1" applyAlignment="1">
      <alignment horizontal="center"/>
    </xf>
    <xf numFmtId="164" fontId="26" fillId="0" borderId="0" xfId="0" applyNumberFormat="1" applyFont="1" applyFill="1" applyBorder="1" applyAlignment="1">
      <alignment horizontal="center"/>
    </xf>
    <xf numFmtId="164" fontId="23" fillId="12" borderId="0" xfId="0" applyNumberFormat="1" applyFont="1" applyFill="1" applyBorder="1" applyAlignment="1">
      <alignment horizontal="center"/>
    </xf>
    <xf numFmtId="169" fontId="27" fillId="12" borderId="0" xfId="0" applyNumberFormat="1" applyFont="1" applyFill="1" applyAlignment="1">
      <alignment horizontal="center"/>
    </xf>
    <xf numFmtId="164" fontId="27" fillId="6" borderId="0" xfId="0" applyNumberFormat="1" applyFont="1" applyFill="1" applyAlignment="1">
      <alignment horizontal="center"/>
    </xf>
    <xf numFmtId="165" fontId="26" fillId="0" borderId="0" xfId="0" applyNumberFormat="1" applyFont="1" applyFill="1" applyBorder="1" applyAlignment="1">
      <alignment horizontal="center"/>
    </xf>
    <xf numFmtId="164" fontId="23" fillId="5" borderId="0" xfId="0" applyNumberFormat="1" applyFont="1" applyFill="1" applyBorder="1" applyAlignment="1">
      <alignment horizontal="center"/>
    </xf>
    <xf numFmtId="164" fontId="23" fillId="23" borderId="0" xfId="0" applyNumberFormat="1" applyFont="1" applyFill="1" applyBorder="1" applyAlignment="1">
      <alignment horizontal="center"/>
    </xf>
    <xf numFmtId="0" fontId="26" fillId="25" borderId="0" xfId="0" applyFont="1" applyFill="1" applyBorder="1" applyAlignment="1">
      <alignment horizontal="center"/>
    </xf>
    <xf numFmtId="164" fontId="26" fillId="25" borderId="0" xfId="0" applyNumberFormat="1" applyFont="1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171" fontId="26" fillId="25" borderId="0" xfId="0" applyNumberFormat="1" applyFont="1" applyFill="1" applyBorder="1" applyAlignment="1">
      <alignment horizontal="center"/>
    </xf>
    <xf numFmtId="0" fontId="23" fillId="26" borderId="0" xfId="0" applyFont="1" applyFill="1" applyBorder="1" applyAlignment="1">
      <alignment horizontal="center"/>
    </xf>
    <xf numFmtId="169" fontId="8" fillId="0" borderId="0" xfId="0" applyNumberFormat="1" applyFont="1" applyAlignment="1">
      <alignment horizontal="center"/>
    </xf>
    <xf numFmtId="0" fontId="26" fillId="18" borderId="0" xfId="0" applyFont="1" applyFill="1" applyBorder="1" applyAlignment="1">
      <alignment horizontal="center"/>
    </xf>
    <xf numFmtId="171" fontId="26" fillId="18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Alignment="1">
      <alignment horizontal="center"/>
    </xf>
    <xf numFmtId="168" fontId="9" fillId="12" borderId="0" xfId="0" applyNumberFormat="1" applyFont="1" applyFill="1" applyAlignment="1">
      <alignment horizontal="center"/>
    </xf>
    <xf numFmtId="14" fontId="9" fillId="12" borderId="0" xfId="0" applyNumberFormat="1" applyFont="1" applyFill="1" applyAlignment="1">
      <alignment horizontal="center"/>
    </xf>
    <xf numFmtId="14" fontId="9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opLeftCell="A6" workbookViewId="0">
      <selection activeCell="J23" sqref="J23"/>
    </sheetView>
  </sheetViews>
  <sheetFormatPr defaultRowHeight="15"/>
  <cols>
    <col min="1" max="1" width="24.7109375" customWidth="1"/>
    <col min="2" max="2" width="17.5703125" customWidth="1"/>
    <col min="3" max="3" width="16.7109375" customWidth="1"/>
    <col min="4" max="4" width="13.85546875" customWidth="1"/>
    <col min="5" max="5" width="14" customWidth="1"/>
    <col min="6" max="6" width="15.85546875" customWidth="1"/>
    <col min="9" max="9" width="31.5703125" customWidth="1"/>
    <col min="10" max="10" width="11" bestFit="1" customWidth="1"/>
  </cols>
  <sheetData>
    <row r="1" spans="1:10">
      <c r="A1" s="9" t="s">
        <v>0</v>
      </c>
      <c r="B1" s="10" t="s">
        <v>1</v>
      </c>
      <c r="C1" s="9" t="s">
        <v>2</v>
      </c>
      <c r="D1" s="10" t="s">
        <v>3</v>
      </c>
      <c r="E1" s="11" t="s">
        <v>4</v>
      </c>
      <c r="F1" s="75" t="s">
        <v>5</v>
      </c>
      <c r="I1" s="17" t="s">
        <v>6</v>
      </c>
      <c r="J1" s="18"/>
    </row>
    <row r="2" spans="1:10">
      <c r="A2" s="8" t="s">
        <v>7</v>
      </c>
      <c r="B2" s="12">
        <v>20</v>
      </c>
      <c r="C2" s="8">
        <v>75</v>
      </c>
      <c r="D2" s="12">
        <v>10</v>
      </c>
      <c r="E2" s="8">
        <v>50</v>
      </c>
      <c r="F2" s="1"/>
      <c r="I2" s="8" t="s">
        <v>8</v>
      </c>
      <c r="J2" s="30">
        <v>150</v>
      </c>
    </row>
    <row r="3" spans="1:10">
      <c r="A3" s="8" t="s">
        <v>9</v>
      </c>
      <c r="B3" s="12">
        <v>20</v>
      </c>
      <c r="C3" s="8">
        <v>75</v>
      </c>
      <c r="D3" s="12">
        <v>10</v>
      </c>
      <c r="E3" s="8">
        <v>50</v>
      </c>
      <c r="F3" s="1"/>
      <c r="I3" s="8" t="s">
        <v>10</v>
      </c>
      <c r="J3" s="30">
        <v>50</v>
      </c>
    </row>
    <row r="4" spans="1:10">
      <c r="A4" s="8" t="s">
        <v>11</v>
      </c>
      <c r="B4" s="12">
        <v>20</v>
      </c>
      <c r="C4" s="8">
        <v>75</v>
      </c>
      <c r="D4" s="12">
        <v>10</v>
      </c>
      <c r="E4" s="8">
        <v>50</v>
      </c>
      <c r="F4" s="1"/>
      <c r="I4" s="8" t="s">
        <v>4</v>
      </c>
      <c r="J4" s="30">
        <v>1310</v>
      </c>
    </row>
    <row r="5" spans="1:10">
      <c r="A5" s="8" t="s">
        <v>12</v>
      </c>
      <c r="B5" s="12">
        <v>20</v>
      </c>
      <c r="C5" s="8">
        <v>75</v>
      </c>
      <c r="D5" s="12">
        <v>10</v>
      </c>
      <c r="E5" s="8">
        <v>50</v>
      </c>
      <c r="F5" s="1"/>
      <c r="I5" s="8" t="s">
        <v>2</v>
      </c>
      <c r="J5" s="30">
        <f>SUM(C2:C55)</f>
        <v>2525</v>
      </c>
    </row>
    <row r="6" spans="1:10">
      <c r="A6" s="8" t="s">
        <v>13</v>
      </c>
      <c r="B6" s="12">
        <v>20</v>
      </c>
      <c r="C6" s="8">
        <v>75</v>
      </c>
      <c r="D6" s="12">
        <v>10</v>
      </c>
      <c r="E6" s="8">
        <v>50</v>
      </c>
      <c r="F6" s="1"/>
      <c r="I6" s="8" t="s">
        <v>14</v>
      </c>
      <c r="J6" s="30">
        <v>100</v>
      </c>
    </row>
    <row r="7" spans="1:10">
      <c r="A7" s="8" t="s">
        <v>15</v>
      </c>
      <c r="B7" s="12">
        <v>20</v>
      </c>
      <c r="C7" s="8">
        <v>75</v>
      </c>
      <c r="D7" s="12">
        <v>10</v>
      </c>
      <c r="E7" s="8">
        <v>50</v>
      </c>
      <c r="F7" s="1"/>
      <c r="I7" s="8" t="s">
        <v>16</v>
      </c>
      <c r="J7" s="30">
        <v>150</v>
      </c>
    </row>
    <row r="8" spans="1:10">
      <c r="A8" s="8" t="s">
        <v>17</v>
      </c>
      <c r="B8" s="12">
        <v>20</v>
      </c>
      <c r="C8" s="8">
        <v>75</v>
      </c>
      <c r="D8" s="12">
        <v>10</v>
      </c>
      <c r="E8" s="8">
        <v>50</v>
      </c>
      <c r="F8" s="1"/>
      <c r="I8" s="8" t="s">
        <v>18</v>
      </c>
      <c r="J8" s="30">
        <v>134.34</v>
      </c>
    </row>
    <row r="9" spans="1:10">
      <c r="A9" s="13" t="s">
        <v>19</v>
      </c>
      <c r="B9" s="8" t="s">
        <v>20</v>
      </c>
      <c r="C9" s="8">
        <v>75</v>
      </c>
      <c r="D9" s="8" t="s">
        <v>20</v>
      </c>
      <c r="E9" s="8" t="s">
        <v>20</v>
      </c>
      <c r="F9" s="1"/>
      <c r="I9" s="8" t="s">
        <v>21</v>
      </c>
      <c r="J9" s="30">
        <v>90</v>
      </c>
    </row>
    <row r="10" spans="1:10">
      <c r="A10" s="8" t="s">
        <v>22</v>
      </c>
      <c r="B10" s="12">
        <v>20</v>
      </c>
      <c r="C10" s="8">
        <v>75</v>
      </c>
      <c r="D10" s="12">
        <v>10</v>
      </c>
      <c r="E10" s="8">
        <v>50</v>
      </c>
      <c r="F10" s="1"/>
      <c r="I10" s="29" t="s">
        <v>23</v>
      </c>
      <c r="J10" s="31">
        <v>100</v>
      </c>
    </row>
    <row r="11" spans="1:10">
      <c r="A11" s="8" t="s">
        <v>24</v>
      </c>
      <c r="B11" s="12">
        <v>20</v>
      </c>
      <c r="C11" s="8">
        <v>75</v>
      </c>
      <c r="D11" s="12">
        <v>10</v>
      </c>
      <c r="E11" s="8">
        <v>50</v>
      </c>
      <c r="F11" s="1"/>
      <c r="I11" s="32" t="s">
        <v>25</v>
      </c>
      <c r="J11" s="14">
        <v>215</v>
      </c>
    </row>
    <row r="12" spans="1:10">
      <c r="A12" s="8" t="s">
        <v>26</v>
      </c>
      <c r="B12" s="12">
        <v>20</v>
      </c>
      <c r="C12" s="8">
        <v>75</v>
      </c>
      <c r="D12" s="12">
        <v>10</v>
      </c>
      <c r="E12" s="8">
        <v>50</v>
      </c>
      <c r="F12" s="1"/>
      <c r="I12" s="8" t="s">
        <v>27</v>
      </c>
      <c r="J12" s="8">
        <v>100</v>
      </c>
    </row>
    <row r="13" spans="1:10">
      <c r="A13" s="8" t="s">
        <v>28</v>
      </c>
      <c r="B13" s="12">
        <v>20</v>
      </c>
      <c r="C13" s="8">
        <v>75</v>
      </c>
      <c r="D13" s="12">
        <v>10</v>
      </c>
      <c r="E13" s="8">
        <v>50</v>
      </c>
      <c r="F13" s="1"/>
      <c r="I13" s="15" t="s">
        <v>29</v>
      </c>
      <c r="J13" s="77">
        <f>SUM(J2:J12)</f>
        <v>4924.34</v>
      </c>
    </row>
    <row r="14" spans="1:10">
      <c r="A14" s="33" t="s">
        <v>30</v>
      </c>
      <c r="B14" s="12">
        <v>20</v>
      </c>
      <c r="C14" s="8">
        <v>75</v>
      </c>
      <c r="D14" s="12">
        <v>10</v>
      </c>
      <c r="E14" s="8">
        <v>50</v>
      </c>
      <c r="F14" s="1"/>
      <c r="I14" s="34"/>
      <c r="J14" s="34"/>
    </row>
    <row r="15" spans="1:10">
      <c r="A15" s="8" t="s">
        <v>31</v>
      </c>
      <c r="B15" s="12">
        <v>20</v>
      </c>
      <c r="C15" s="8">
        <v>75</v>
      </c>
      <c r="D15" s="12">
        <v>10</v>
      </c>
      <c r="E15" s="8">
        <v>50</v>
      </c>
      <c r="F15" s="1"/>
      <c r="I15" s="20" t="s">
        <v>32</v>
      </c>
      <c r="J15" s="20">
        <f>B60-J13</f>
        <v>290.65999999999985</v>
      </c>
    </row>
    <row r="16" spans="1:10">
      <c r="A16" s="8" t="s">
        <v>33</v>
      </c>
      <c r="B16" s="12">
        <v>20</v>
      </c>
      <c r="C16" s="8">
        <v>75</v>
      </c>
      <c r="D16" s="12">
        <v>10</v>
      </c>
      <c r="E16" s="8">
        <v>50</v>
      </c>
      <c r="F16" s="1"/>
    </row>
    <row r="17" spans="1:10">
      <c r="A17" s="13" t="s">
        <v>34</v>
      </c>
      <c r="B17" s="8" t="s">
        <v>20</v>
      </c>
      <c r="C17" s="8">
        <v>75</v>
      </c>
      <c r="D17" s="12">
        <v>10</v>
      </c>
      <c r="E17" s="8" t="s">
        <v>20</v>
      </c>
      <c r="F17" s="1"/>
    </row>
    <row r="18" spans="1:10">
      <c r="A18" s="8" t="s">
        <v>35</v>
      </c>
      <c r="B18" s="12">
        <v>20</v>
      </c>
      <c r="C18" s="8">
        <v>75</v>
      </c>
      <c r="D18" s="12">
        <v>10</v>
      </c>
      <c r="E18" s="8" t="s">
        <v>20</v>
      </c>
      <c r="F18" s="1"/>
    </row>
    <row r="19" spans="1:10">
      <c r="A19" s="8" t="s">
        <v>36</v>
      </c>
      <c r="B19" s="12">
        <v>20</v>
      </c>
      <c r="C19" s="8">
        <v>75</v>
      </c>
      <c r="D19" s="12">
        <v>10</v>
      </c>
      <c r="E19" s="8">
        <v>50</v>
      </c>
      <c r="F19" s="1"/>
    </row>
    <row r="20" spans="1:10">
      <c r="A20" s="8" t="s">
        <v>37</v>
      </c>
      <c r="B20" s="12">
        <v>20</v>
      </c>
      <c r="C20" s="8">
        <v>75</v>
      </c>
      <c r="D20" s="12">
        <v>10</v>
      </c>
      <c r="E20" s="8">
        <v>50</v>
      </c>
      <c r="F20" s="1"/>
    </row>
    <row r="21" spans="1:10">
      <c r="A21" s="13" t="s">
        <v>38</v>
      </c>
      <c r="B21" s="8" t="s">
        <v>20</v>
      </c>
      <c r="C21" s="8">
        <v>75</v>
      </c>
      <c r="D21" s="8" t="s">
        <v>20</v>
      </c>
      <c r="E21" s="8" t="s">
        <v>20</v>
      </c>
      <c r="F21" s="1"/>
    </row>
    <row r="22" spans="1:10">
      <c r="A22" s="8" t="s">
        <v>39</v>
      </c>
      <c r="B22" s="12">
        <v>20</v>
      </c>
      <c r="C22" s="8">
        <v>75</v>
      </c>
      <c r="D22" s="12">
        <v>10</v>
      </c>
      <c r="E22" s="8">
        <v>50</v>
      </c>
      <c r="F22" s="1"/>
      <c r="J22" s="15"/>
    </row>
    <row r="23" spans="1:10">
      <c r="A23" s="8" t="s">
        <v>40</v>
      </c>
      <c r="B23" s="12">
        <v>20</v>
      </c>
      <c r="C23" s="8">
        <v>75</v>
      </c>
      <c r="D23" s="12">
        <v>10</v>
      </c>
      <c r="E23" s="8">
        <v>50</v>
      </c>
      <c r="F23" s="1"/>
    </row>
    <row r="24" spans="1:10">
      <c r="A24" s="8" t="s">
        <v>41</v>
      </c>
      <c r="B24" s="12">
        <v>20</v>
      </c>
      <c r="C24" s="8">
        <v>75</v>
      </c>
      <c r="D24" s="12">
        <v>10</v>
      </c>
      <c r="E24" s="8" t="s">
        <v>20</v>
      </c>
      <c r="F24" s="1"/>
    </row>
    <row r="25" spans="1:10">
      <c r="A25" s="33" t="s">
        <v>42</v>
      </c>
      <c r="B25" s="12">
        <v>20</v>
      </c>
      <c r="C25" s="8">
        <v>75</v>
      </c>
      <c r="D25" s="12">
        <v>10</v>
      </c>
      <c r="E25" s="8" t="s">
        <v>20</v>
      </c>
      <c r="F25" s="1"/>
    </row>
    <row r="26" spans="1:10">
      <c r="A26" s="8" t="s">
        <v>43</v>
      </c>
      <c r="B26" s="12">
        <v>20</v>
      </c>
      <c r="C26" s="8">
        <v>75</v>
      </c>
      <c r="D26" s="12">
        <v>10</v>
      </c>
      <c r="E26" s="8" t="s">
        <v>20</v>
      </c>
      <c r="F26" s="1"/>
    </row>
    <row r="27" spans="1:10">
      <c r="A27" s="8" t="s">
        <v>44</v>
      </c>
      <c r="B27" s="12">
        <v>20</v>
      </c>
      <c r="C27" s="8" t="s">
        <v>20</v>
      </c>
      <c r="D27" s="12">
        <v>10</v>
      </c>
      <c r="E27" s="8" t="s">
        <v>20</v>
      </c>
      <c r="F27" s="1"/>
    </row>
    <row r="28" spans="1:10">
      <c r="A28" s="13" t="s">
        <v>45</v>
      </c>
      <c r="B28" s="8" t="s">
        <v>20</v>
      </c>
      <c r="C28" s="8">
        <v>70</v>
      </c>
      <c r="D28" s="12">
        <v>10</v>
      </c>
      <c r="E28" s="8" t="s">
        <v>20</v>
      </c>
      <c r="F28" s="1"/>
    </row>
    <row r="29" spans="1:10">
      <c r="A29" s="8" t="s">
        <v>46</v>
      </c>
      <c r="B29" s="12">
        <v>20</v>
      </c>
      <c r="C29" s="8">
        <v>70</v>
      </c>
      <c r="D29" s="12">
        <v>10</v>
      </c>
      <c r="E29" s="8" t="s">
        <v>20</v>
      </c>
      <c r="F29" s="1"/>
    </row>
    <row r="30" spans="1:10">
      <c r="A30" s="13" t="s">
        <v>47</v>
      </c>
      <c r="B30" s="12">
        <v>20</v>
      </c>
      <c r="C30" s="8">
        <v>70</v>
      </c>
      <c r="D30" s="8" t="s">
        <v>20</v>
      </c>
      <c r="E30" s="8">
        <v>50</v>
      </c>
      <c r="F30" s="1"/>
    </row>
    <row r="31" spans="1:10">
      <c r="A31" s="13" t="s">
        <v>48</v>
      </c>
      <c r="B31" s="8" t="s">
        <v>20</v>
      </c>
      <c r="C31" s="8">
        <v>70</v>
      </c>
      <c r="D31" s="12">
        <v>10</v>
      </c>
      <c r="E31" s="8">
        <v>50</v>
      </c>
      <c r="F31" s="1"/>
    </row>
    <row r="32" spans="1:10">
      <c r="A32" s="8" t="s">
        <v>49</v>
      </c>
      <c r="B32" s="12">
        <v>20</v>
      </c>
      <c r="C32" s="8">
        <v>70</v>
      </c>
      <c r="D32" s="12">
        <v>10</v>
      </c>
      <c r="E32" s="8">
        <v>50</v>
      </c>
      <c r="F32" s="1"/>
    </row>
    <row r="33" spans="1:6">
      <c r="A33" s="8" t="s">
        <v>50</v>
      </c>
      <c r="B33" s="12">
        <v>20</v>
      </c>
      <c r="C33" s="8" t="s">
        <v>20</v>
      </c>
      <c r="D33" s="12">
        <v>10</v>
      </c>
      <c r="E33" s="8" t="s">
        <v>20</v>
      </c>
      <c r="F33" s="1"/>
    </row>
    <row r="34" spans="1:6">
      <c r="A34" s="8" t="s">
        <v>51</v>
      </c>
      <c r="B34" s="12">
        <v>20</v>
      </c>
      <c r="C34" s="8" t="s">
        <v>20</v>
      </c>
      <c r="D34" s="12">
        <v>10</v>
      </c>
      <c r="E34" s="8" t="s">
        <v>20</v>
      </c>
      <c r="F34" s="1"/>
    </row>
    <row r="35" spans="1:6">
      <c r="A35" s="8" t="s">
        <v>52</v>
      </c>
      <c r="B35" s="12">
        <v>20</v>
      </c>
      <c r="C35" s="8" t="s">
        <v>20</v>
      </c>
      <c r="D35" s="12">
        <v>10</v>
      </c>
      <c r="E35" s="8">
        <v>50</v>
      </c>
      <c r="F35" s="1"/>
    </row>
    <row r="36" spans="1:6">
      <c r="A36" s="13" t="s">
        <v>53</v>
      </c>
      <c r="B36" s="12">
        <v>20</v>
      </c>
      <c r="C36" s="87">
        <v>75</v>
      </c>
      <c r="D36" s="8" t="s">
        <v>20</v>
      </c>
      <c r="E36" s="8" t="s">
        <v>20</v>
      </c>
      <c r="F36" s="1"/>
    </row>
    <row r="37" spans="1:6">
      <c r="A37" s="8" t="s">
        <v>54</v>
      </c>
      <c r="B37" s="12">
        <v>20</v>
      </c>
      <c r="C37" s="8" t="s">
        <v>20</v>
      </c>
      <c r="D37" s="12">
        <v>10</v>
      </c>
      <c r="E37" s="8" t="s">
        <v>20</v>
      </c>
      <c r="F37" s="1"/>
    </row>
    <row r="38" spans="1:6">
      <c r="A38" s="8" t="s">
        <v>55</v>
      </c>
      <c r="B38" s="12">
        <v>20</v>
      </c>
      <c r="C38" s="8" t="s">
        <v>20</v>
      </c>
      <c r="D38" s="12">
        <v>10</v>
      </c>
      <c r="E38" s="8">
        <v>50</v>
      </c>
      <c r="F38" s="1"/>
    </row>
    <row r="39" spans="1:6">
      <c r="A39" s="8" t="s">
        <v>56</v>
      </c>
      <c r="B39" s="12">
        <v>20</v>
      </c>
      <c r="C39" s="87">
        <v>75</v>
      </c>
      <c r="D39" s="12">
        <v>10</v>
      </c>
      <c r="E39" s="8">
        <v>40</v>
      </c>
      <c r="F39" s="1"/>
    </row>
    <row r="40" spans="1:6">
      <c r="A40" s="8" t="s">
        <v>57</v>
      </c>
      <c r="B40" s="12">
        <v>20</v>
      </c>
      <c r="C40" s="8" t="s">
        <v>20</v>
      </c>
      <c r="D40" s="12">
        <v>10</v>
      </c>
      <c r="E40" s="8" t="s">
        <v>20</v>
      </c>
      <c r="F40" s="1"/>
    </row>
    <row r="41" spans="1:6">
      <c r="A41" s="13" t="s">
        <v>58</v>
      </c>
      <c r="B41" s="12">
        <v>20</v>
      </c>
      <c r="C41" s="8" t="s">
        <v>20</v>
      </c>
      <c r="D41" s="8" t="s">
        <v>20</v>
      </c>
      <c r="E41" s="8" t="s">
        <v>20</v>
      </c>
      <c r="F41" s="1"/>
    </row>
    <row r="42" spans="1:6">
      <c r="A42" s="8" t="s">
        <v>59</v>
      </c>
      <c r="B42" s="12">
        <v>20</v>
      </c>
      <c r="C42" s="8" t="s">
        <v>20</v>
      </c>
      <c r="D42" s="12">
        <v>10</v>
      </c>
      <c r="E42" s="8" t="s">
        <v>20</v>
      </c>
      <c r="F42" s="1"/>
    </row>
    <row r="43" spans="1:6">
      <c r="A43" s="8" t="s">
        <v>60</v>
      </c>
      <c r="B43" s="12">
        <v>20</v>
      </c>
      <c r="C43" s="8" t="s">
        <v>20</v>
      </c>
      <c r="D43" s="12">
        <v>10</v>
      </c>
      <c r="E43" s="8" t="s">
        <v>20</v>
      </c>
      <c r="F43" s="1"/>
    </row>
    <row r="44" spans="1:6">
      <c r="A44" s="8" t="s">
        <v>61</v>
      </c>
      <c r="B44" s="12">
        <v>20</v>
      </c>
      <c r="C44" s="8" t="s">
        <v>20</v>
      </c>
      <c r="D44" s="12">
        <v>10</v>
      </c>
      <c r="E44" s="8">
        <v>50</v>
      </c>
      <c r="F44" s="1"/>
    </row>
    <row r="45" spans="1:6">
      <c r="A45" s="13" t="s">
        <v>62</v>
      </c>
      <c r="B45" s="12">
        <v>20</v>
      </c>
      <c r="C45" s="8" t="s">
        <v>20</v>
      </c>
      <c r="D45" s="8" t="s">
        <v>20</v>
      </c>
      <c r="E45" s="8" t="s">
        <v>20</v>
      </c>
      <c r="F45" s="1"/>
    </row>
    <row r="46" spans="1:6">
      <c r="A46" s="13" t="s">
        <v>63</v>
      </c>
      <c r="B46" s="12">
        <v>20</v>
      </c>
      <c r="C46" s="8" t="s">
        <v>20</v>
      </c>
      <c r="D46" s="8" t="s">
        <v>20</v>
      </c>
      <c r="E46" s="8" t="s">
        <v>20</v>
      </c>
      <c r="F46" s="1"/>
    </row>
    <row r="47" spans="1:6">
      <c r="A47" s="33" t="s">
        <v>64</v>
      </c>
      <c r="B47" s="12">
        <v>20</v>
      </c>
      <c r="C47" s="8" t="s">
        <v>20</v>
      </c>
      <c r="D47" s="8" t="s">
        <v>20</v>
      </c>
      <c r="E47" s="8" t="s">
        <v>20</v>
      </c>
      <c r="F47" s="1"/>
    </row>
    <row r="48" spans="1:6">
      <c r="A48" s="13" t="s">
        <v>65</v>
      </c>
      <c r="B48" s="12">
        <v>20</v>
      </c>
      <c r="C48" s="8" t="s">
        <v>20</v>
      </c>
      <c r="D48" s="8" t="s">
        <v>20</v>
      </c>
      <c r="E48" s="8" t="s">
        <v>20</v>
      </c>
      <c r="F48" s="1"/>
    </row>
    <row r="49" spans="1:6">
      <c r="A49" s="13" t="s">
        <v>66</v>
      </c>
      <c r="B49" s="12">
        <v>20</v>
      </c>
      <c r="C49" s="8" t="s">
        <v>20</v>
      </c>
      <c r="D49" s="8" t="s">
        <v>20</v>
      </c>
      <c r="E49" s="8" t="s">
        <v>20</v>
      </c>
      <c r="F49" s="1"/>
    </row>
    <row r="50" spans="1:6">
      <c r="A50" s="13" t="s">
        <v>67</v>
      </c>
      <c r="B50" s="8" t="s">
        <v>20</v>
      </c>
      <c r="C50" s="8" t="s">
        <v>20</v>
      </c>
      <c r="D50" s="12">
        <v>10</v>
      </c>
      <c r="E50" s="8">
        <v>50</v>
      </c>
      <c r="F50" s="1"/>
    </row>
    <row r="51" spans="1:6">
      <c r="A51" s="13" t="s">
        <v>68</v>
      </c>
      <c r="B51" s="8" t="s">
        <v>20</v>
      </c>
      <c r="C51" s="8" t="s">
        <v>20</v>
      </c>
      <c r="D51" s="12">
        <v>10</v>
      </c>
      <c r="E51" s="8">
        <v>50</v>
      </c>
    </row>
    <row r="52" spans="1:6">
      <c r="A52" s="13" t="s">
        <v>69</v>
      </c>
      <c r="B52" s="12">
        <v>20</v>
      </c>
      <c r="C52" s="8" t="s">
        <v>20</v>
      </c>
      <c r="D52" s="8" t="s">
        <v>20</v>
      </c>
      <c r="E52" s="8">
        <v>50</v>
      </c>
    </row>
    <row r="53" spans="1:6">
      <c r="A53" s="13" t="s">
        <v>70</v>
      </c>
      <c r="B53" s="8" t="s">
        <v>20</v>
      </c>
      <c r="C53" s="8" t="s">
        <v>20</v>
      </c>
      <c r="D53" s="12">
        <v>10</v>
      </c>
      <c r="E53" s="8" t="s">
        <v>20</v>
      </c>
    </row>
    <row r="54" spans="1:6">
      <c r="A54" s="13" t="s">
        <v>71</v>
      </c>
      <c r="B54" s="8" t="s">
        <v>20</v>
      </c>
      <c r="C54" s="87">
        <v>75</v>
      </c>
      <c r="D54" s="12">
        <v>10</v>
      </c>
      <c r="E54" s="8" t="s">
        <v>20</v>
      </c>
    </row>
    <row r="55" spans="1:6">
      <c r="A55" s="33" t="s">
        <v>72</v>
      </c>
      <c r="B55" s="8"/>
      <c r="C55" s="87">
        <v>75</v>
      </c>
      <c r="D55" s="12"/>
      <c r="E55" s="8"/>
    </row>
    <row r="56" spans="1:6">
      <c r="A56" s="14"/>
      <c r="B56" s="14"/>
      <c r="C56" s="14"/>
      <c r="D56" s="14"/>
      <c r="E56" s="14"/>
    </row>
    <row r="58" spans="1:6">
      <c r="A58" s="15" t="s">
        <v>73</v>
      </c>
      <c r="B58" s="16">
        <f>SUM(B2:B57)</f>
        <v>880</v>
      </c>
      <c r="C58" s="16">
        <f t="shared" ref="C58:D58" si="0">SUM(C2:C57)</f>
        <v>2525</v>
      </c>
      <c r="D58" s="16">
        <f t="shared" si="0"/>
        <v>420</v>
      </c>
      <c r="E58" s="16">
        <f>SUM(E2:E54)</f>
        <v>1390</v>
      </c>
      <c r="F58" s="19"/>
    </row>
    <row r="59" spans="1:6">
      <c r="B59" s="3"/>
    </row>
    <row r="60" spans="1:6">
      <c r="A60" s="2" t="s">
        <v>74</v>
      </c>
      <c r="B60" s="15">
        <f>SUM(B58:E58)</f>
        <v>5215</v>
      </c>
    </row>
    <row r="63" spans="1:6">
      <c r="A63" s="2" t="s">
        <v>75</v>
      </c>
    </row>
    <row r="64" spans="1:6">
      <c r="A64" s="4" t="s">
        <v>76</v>
      </c>
    </row>
    <row r="65" spans="1:5">
      <c r="A65" s="5" t="s">
        <v>77</v>
      </c>
    </row>
    <row r="66" spans="1:5">
      <c r="A66" s="6" t="s">
        <v>78</v>
      </c>
    </row>
    <row r="67" spans="1:5">
      <c r="A67" s="7" t="s">
        <v>79</v>
      </c>
      <c r="B67" s="21">
        <f>COUNTIF(B2:B56,"x")</f>
        <v>9</v>
      </c>
      <c r="C67" s="21">
        <f>COUNTIF(C2:C56,"x")</f>
        <v>20</v>
      </c>
      <c r="D67" s="21">
        <f>COUNTIF(D2:D56,"x")</f>
        <v>11</v>
      </c>
      <c r="E67" s="21">
        <f>COUNTIF(E2:E56,"x")</f>
        <v>25</v>
      </c>
    </row>
    <row r="68" spans="1:5">
      <c r="C68" s="22">
        <f>COUNTIF(C2:C56,"70")</f>
        <v>5</v>
      </c>
    </row>
    <row r="69" spans="1:5">
      <c r="A69" s="26" t="s">
        <v>80</v>
      </c>
      <c r="B69" s="24">
        <f>B67*20</f>
        <v>180</v>
      </c>
      <c r="C69" s="24">
        <f>C68*5</f>
        <v>25</v>
      </c>
      <c r="D69" s="24">
        <f>D67*10</f>
        <v>110</v>
      </c>
      <c r="E69" s="25"/>
    </row>
    <row r="71" spans="1:5">
      <c r="A71" s="27" t="s">
        <v>81</v>
      </c>
      <c r="B71" s="23"/>
      <c r="C71" s="28">
        <f>SUM(B69:D69)</f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26E7-796A-4A8F-8272-CCD52808AF83}">
  <dimension ref="A1:BF68"/>
  <sheetViews>
    <sheetView topLeftCell="A51" workbookViewId="0">
      <selection activeCell="A76" sqref="A76"/>
    </sheetView>
  </sheetViews>
  <sheetFormatPr defaultColWidth="9.140625" defaultRowHeight="15.75"/>
  <cols>
    <col min="1" max="1" width="25.7109375" style="38" bestFit="1" customWidth="1"/>
    <col min="2" max="2" width="14.140625" style="40" customWidth="1"/>
    <col min="3" max="3" width="13.85546875" style="40" customWidth="1"/>
    <col min="4" max="4" width="13.28515625" style="40" customWidth="1"/>
    <col min="5" max="5" width="11.7109375" style="40" customWidth="1"/>
    <col min="6" max="6" width="12.85546875" style="40" customWidth="1"/>
    <col min="7" max="7" width="11.5703125" style="40" customWidth="1"/>
    <col min="8" max="8" width="13.42578125" style="40" customWidth="1"/>
    <col min="9" max="9" width="12" style="40" customWidth="1"/>
    <col min="10" max="10" width="12.140625" style="40" customWidth="1"/>
    <col min="11" max="11" width="10.85546875" style="40" customWidth="1"/>
    <col min="12" max="12" width="11.85546875" style="40" customWidth="1"/>
    <col min="13" max="13" width="13.28515625" style="40" customWidth="1"/>
    <col min="14" max="14" width="12.7109375" style="40" customWidth="1"/>
    <col min="15" max="15" width="11.42578125" style="40" customWidth="1"/>
    <col min="16" max="16" width="11.28515625" style="40" customWidth="1"/>
    <col min="17" max="17" width="9.140625" style="40"/>
    <col min="18" max="18" width="17.5703125" style="40" customWidth="1"/>
    <col min="19" max="16384" width="9.140625" style="40"/>
  </cols>
  <sheetData>
    <row r="1" spans="1:58" s="37" customFormat="1">
      <c r="A1" s="35" t="s">
        <v>82</v>
      </c>
      <c r="B1" s="36">
        <f>DATE(2024,2,18)</f>
        <v>45340</v>
      </c>
      <c r="C1" s="36">
        <f>DATE(YEAR(B1), MONTH(B1), DAY(B1) + 7)</f>
        <v>45347</v>
      </c>
      <c r="D1" s="36">
        <f>DATE(YEAR(C1), MONTH(C1), DAY(C1) + 7)</f>
        <v>45354</v>
      </c>
      <c r="E1" s="36">
        <f>DATE(YEAR(D1), MONTH(D1), DAY(D1) + 7)</f>
        <v>45361</v>
      </c>
      <c r="F1" s="36">
        <f>DATE(YEAR(E1), MONTH(E1), DAY(E1) + 7)</f>
        <v>45368</v>
      </c>
      <c r="G1" s="36">
        <f>DATE(YEAR(F1), MONTH(F1), DAY(F1) + 7)</f>
        <v>45375</v>
      </c>
      <c r="H1" s="36">
        <f>DATE(YEAR(G1), MONTH(G1), DAY(G1) + 7)</f>
        <v>45382</v>
      </c>
      <c r="I1" s="36">
        <f>DATE(YEAR(H1), MONTH(H1), DAY(H1) + 7)</f>
        <v>45389</v>
      </c>
      <c r="J1" s="36">
        <f>DATE(YEAR(I1), MONTH(I1), DAY(I1) + 7)</f>
        <v>45396</v>
      </c>
      <c r="K1" s="36">
        <f>DATE(YEAR(J1), MONTH(J1), DAY(J1) + 7)</f>
        <v>45403</v>
      </c>
      <c r="L1" s="36">
        <f>DATE(YEAR(K1), MONTH(K1), DAY(K1) + 7)</f>
        <v>45410</v>
      </c>
      <c r="M1" s="36">
        <f>DATE(YEAR(L1), MONTH(L1), DAY(L1) + 7)</f>
        <v>45417</v>
      </c>
      <c r="N1" s="78">
        <v>45631</v>
      </c>
      <c r="O1" s="79" t="s">
        <v>83</v>
      </c>
      <c r="P1" s="79" t="s">
        <v>84</v>
      </c>
      <c r="R1" s="88" t="s">
        <v>85</v>
      </c>
    </row>
    <row r="2" spans="1:58">
      <c r="A2" s="40" t="str">
        <f>'Identité membres'!A2 &amp; " " &amp; 'Identité membres'!B2</f>
        <v>Patrick NJIWOUA</v>
      </c>
      <c r="B2" s="44">
        <v>2</v>
      </c>
      <c r="C2" s="44">
        <v>2</v>
      </c>
      <c r="D2" s="44" t="s">
        <v>20</v>
      </c>
      <c r="E2" s="44">
        <v>2</v>
      </c>
      <c r="F2" s="44">
        <v>2</v>
      </c>
      <c r="G2" s="44">
        <v>2</v>
      </c>
      <c r="H2" s="40" t="s">
        <v>20</v>
      </c>
      <c r="I2" s="40" t="s">
        <v>20</v>
      </c>
      <c r="J2" s="44">
        <v>2</v>
      </c>
      <c r="K2" s="40" t="s">
        <v>20</v>
      </c>
      <c r="L2" s="44">
        <v>2</v>
      </c>
      <c r="M2" s="44">
        <v>2</v>
      </c>
      <c r="N2" s="44">
        <v>2</v>
      </c>
      <c r="O2" s="44">
        <v>2</v>
      </c>
      <c r="P2" s="44"/>
      <c r="Q2" s="44"/>
      <c r="R2" s="89">
        <f>SUM(B2:O2)</f>
        <v>20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</row>
    <row r="3" spans="1:58">
      <c r="A3" s="40" t="str">
        <f>'Identité membres'!A3 &amp; " " &amp; 'Identité membres'!B3</f>
        <v>Celestin ELOCK SON</v>
      </c>
      <c r="B3" s="44">
        <v>2</v>
      </c>
      <c r="C3" s="44">
        <v>2</v>
      </c>
      <c r="D3" s="44" t="s">
        <v>20</v>
      </c>
      <c r="E3" s="44" t="s">
        <v>20</v>
      </c>
      <c r="F3" s="44">
        <v>2</v>
      </c>
      <c r="G3" s="44">
        <v>2</v>
      </c>
      <c r="H3" s="44">
        <v>2</v>
      </c>
      <c r="I3" s="44">
        <v>2</v>
      </c>
      <c r="J3" s="40" t="s">
        <v>20</v>
      </c>
      <c r="K3" s="40" t="s">
        <v>20</v>
      </c>
      <c r="L3" s="44">
        <v>2</v>
      </c>
      <c r="M3" s="44">
        <v>1</v>
      </c>
      <c r="N3" s="44"/>
      <c r="O3" s="44"/>
      <c r="P3" s="44"/>
      <c r="Q3" s="44"/>
      <c r="R3" s="89">
        <f>SUM(B3:O3)</f>
        <v>15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</row>
    <row r="4" spans="1:58">
      <c r="A4" s="40" t="str">
        <f>'Identité membres'!A4 &amp; " " &amp; 'Identité membres'!B4</f>
        <v>Steve KAMCHE</v>
      </c>
      <c r="B4" s="44">
        <v>2</v>
      </c>
      <c r="C4" s="44" t="s">
        <v>20</v>
      </c>
      <c r="D4" s="44">
        <v>2</v>
      </c>
      <c r="E4" s="44" t="s">
        <v>20</v>
      </c>
      <c r="F4" s="44">
        <v>2</v>
      </c>
      <c r="G4" s="44">
        <v>2</v>
      </c>
      <c r="H4" s="44" t="s">
        <v>20</v>
      </c>
      <c r="I4" s="44" t="s">
        <v>20</v>
      </c>
      <c r="J4" s="44" t="s">
        <v>20</v>
      </c>
      <c r="K4" s="44">
        <v>2</v>
      </c>
      <c r="L4" s="44"/>
      <c r="M4" s="44"/>
      <c r="N4" s="44"/>
      <c r="O4" s="44"/>
      <c r="P4" s="44"/>
      <c r="Q4" s="44"/>
      <c r="R4" s="89">
        <f>SUM(B4:O4)</f>
        <v>10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</row>
    <row r="5" spans="1:58">
      <c r="A5" s="40" t="str">
        <f>'Identité membres'!A5 &amp; " " &amp; 'Identité membres'!B5</f>
        <v>Patrick NYAT</v>
      </c>
      <c r="B5" s="44" t="s">
        <v>20</v>
      </c>
      <c r="C5" s="44" t="s">
        <v>20</v>
      </c>
      <c r="D5" s="44" t="s">
        <v>20</v>
      </c>
      <c r="E5" s="44" t="s">
        <v>20</v>
      </c>
      <c r="F5" s="44" t="s">
        <v>20</v>
      </c>
      <c r="G5" s="44">
        <v>2</v>
      </c>
      <c r="H5" s="40" t="s">
        <v>20</v>
      </c>
      <c r="I5" s="44">
        <v>2</v>
      </c>
      <c r="J5" s="44">
        <v>2</v>
      </c>
      <c r="K5" s="40" t="s">
        <v>20</v>
      </c>
      <c r="L5" s="44">
        <v>2</v>
      </c>
      <c r="M5" s="44">
        <v>2</v>
      </c>
      <c r="N5" s="44"/>
      <c r="O5" s="44"/>
      <c r="P5" s="44"/>
      <c r="Q5" s="44"/>
      <c r="R5" s="89">
        <f>SUM(B5:O5)</f>
        <v>10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</row>
    <row r="6" spans="1:58">
      <c r="A6" s="40" t="str">
        <f>'Identité membres'!A6 &amp; " " &amp; 'Identité membres'!B6</f>
        <v>Marc KOUOH</v>
      </c>
      <c r="B6" s="44" t="s">
        <v>20</v>
      </c>
      <c r="C6" s="44" t="s">
        <v>20</v>
      </c>
      <c r="D6" s="44" t="s">
        <v>20</v>
      </c>
      <c r="E6" s="44" t="s">
        <v>20</v>
      </c>
      <c r="F6" s="44" t="s">
        <v>20</v>
      </c>
      <c r="G6" s="44" t="s">
        <v>20</v>
      </c>
      <c r="H6" s="44" t="s">
        <v>20</v>
      </c>
      <c r="I6" s="44" t="s">
        <v>20</v>
      </c>
      <c r="J6" s="44" t="s">
        <v>20</v>
      </c>
      <c r="K6" s="44" t="s">
        <v>20</v>
      </c>
      <c r="L6" s="44"/>
      <c r="M6" s="44"/>
      <c r="N6" s="44"/>
      <c r="O6" s="44"/>
      <c r="P6" s="44"/>
      <c r="Q6" s="44"/>
      <c r="R6" s="89">
        <f>SUM(B6:O6)</f>
        <v>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</row>
    <row r="7" spans="1:58">
      <c r="A7" s="40" t="str">
        <f>'Identité membres'!A7 &amp; " " &amp; 'Identité membres'!B7</f>
        <v>Collence DONFACK</v>
      </c>
      <c r="B7" s="44">
        <v>2</v>
      </c>
      <c r="C7" s="44" t="s">
        <v>20</v>
      </c>
      <c r="D7" s="44" t="s">
        <v>20</v>
      </c>
      <c r="E7" s="44" t="s">
        <v>20</v>
      </c>
      <c r="F7" s="44" t="s">
        <v>20</v>
      </c>
      <c r="G7" s="44" t="s">
        <v>20</v>
      </c>
      <c r="H7" s="44" t="s">
        <v>20</v>
      </c>
      <c r="I7" s="44" t="s">
        <v>20</v>
      </c>
      <c r="J7" s="44" t="s">
        <v>20</v>
      </c>
      <c r="K7" s="44" t="s">
        <v>20</v>
      </c>
      <c r="L7" s="44"/>
      <c r="M7" s="44"/>
      <c r="N7" s="44"/>
      <c r="O7" s="44"/>
      <c r="P7" s="44"/>
      <c r="Q7" s="44"/>
      <c r="R7" s="89">
        <f>SUM(B7:O7)</f>
        <v>2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</row>
    <row r="8" spans="1:58">
      <c r="A8" s="40" t="str">
        <f>'Identité membres'!A8 &amp; " " &amp; 'Identité membres'!B8</f>
        <v>Yannick TCHAPE</v>
      </c>
      <c r="B8" s="44" t="s">
        <v>20</v>
      </c>
      <c r="C8" s="44">
        <v>2</v>
      </c>
      <c r="D8" s="44" t="s">
        <v>20</v>
      </c>
      <c r="E8" s="44" t="s">
        <v>20</v>
      </c>
      <c r="F8" s="44">
        <v>2</v>
      </c>
      <c r="G8" s="44">
        <v>2</v>
      </c>
      <c r="H8" s="40" t="s">
        <v>20</v>
      </c>
      <c r="I8" s="40" t="s">
        <v>20</v>
      </c>
      <c r="J8" s="40" t="s">
        <v>20</v>
      </c>
      <c r="K8" s="44">
        <v>2</v>
      </c>
      <c r="L8" s="44">
        <v>2</v>
      </c>
      <c r="M8" s="44"/>
      <c r="N8" s="44"/>
      <c r="O8" s="44"/>
      <c r="P8" s="44"/>
      <c r="Q8" s="44"/>
      <c r="R8" s="89">
        <f>SUM(B8:O8)</f>
        <v>10</v>
      </c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</row>
    <row r="9" spans="1:58">
      <c r="A9" s="40" t="str">
        <f>'Identité membres'!A9 &amp; " " &amp; 'Identité membres'!B9</f>
        <v xml:space="preserve"> Ledoux</v>
      </c>
      <c r="B9" s="44" t="s">
        <v>20</v>
      </c>
      <c r="C9" s="44">
        <v>2</v>
      </c>
      <c r="D9" s="44">
        <v>2</v>
      </c>
      <c r="E9" s="44">
        <v>2</v>
      </c>
      <c r="F9" s="44">
        <v>2</v>
      </c>
      <c r="G9" s="44">
        <v>2</v>
      </c>
      <c r="H9" s="40" t="s">
        <v>20</v>
      </c>
      <c r="I9" s="40" t="s">
        <v>20</v>
      </c>
      <c r="J9" s="40" t="s">
        <v>20</v>
      </c>
      <c r="K9" s="44">
        <v>2</v>
      </c>
      <c r="L9" s="44">
        <v>1</v>
      </c>
      <c r="M9" s="44"/>
      <c r="N9" s="44"/>
      <c r="O9" s="44"/>
      <c r="P9" s="44"/>
      <c r="Q9" s="44"/>
      <c r="R9" s="89">
        <f>SUM(B9:O9)</f>
        <v>13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</row>
    <row r="10" spans="1:58">
      <c r="A10" s="40" t="str">
        <f>'Identité membres'!A10 &amp; " " &amp; 'Identité membres'!B10</f>
        <v>Williams TAKALA</v>
      </c>
      <c r="B10" s="44">
        <v>2</v>
      </c>
      <c r="C10" s="44">
        <v>2</v>
      </c>
      <c r="D10" s="44" t="s">
        <v>20</v>
      </c>
      <c r="E10" s="44" t="s">
        <v>20</v>
      </c>
      <c r="F10" s="44" t="s">
        <v>20</v>
      </c>
      <c r="G10" s="44" t="s">
        <v>20</v>
      </c>
      <c r="H10" s="44" t="s">
        <v>20</v>
      </c>
      <c r="I10" s="74"/>
      <c r="J10" s="74"/>
      <c r="K10" s="44" t="s">
        <v>20</v>
      </c>
      <c r="L10" s="44"/>
      <c r="M10" s="44"/>
      <c r="N10" s="44"/>
      <c r="O10" s="44"/>
      <c r="P10" s="44"/>
      <c r="Q10" s="44"/>
      <c r="R10" s="89">
        <f>SUM(B10:O10)</f>
        <v>4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</row>
    <row r="11" spans="1:58">
      <c r="A11" s="40" t="str">
        <f>'Identité membres'!A11 &amp; " " &amp; 'Identité membres'!B11</f>
        <v>Fabrice TSAKOU</v>
      </c>
      <c r="B11" s="44" t="s">
        <v>20</v>
      </c>
      <c r="C11" s="44" t="s">
        <v>20</v>
      </c>
      <c r="D11" s="44" t="s">
        <v>20</v>
      </c>
      <c r="E11" s="44" t="s">
        <v>20</v>
      </c>
      <c r="F11" s="44">
        <v>2</v>
      </c>
      <c r="G11" s="40" t="s">
        <v>20</v>
      </c>
      <c r="H11" s="40" t="s">
        <v>20</v>
      </c>
      <c r="I11" s="40" t="s">
        <v>20</v>
      </c>
      <c r="J11" s="40" t="s">
        <v>20</v>
      </c>
      <c r="K11" s="40" t="s">
        <v>20</v>
      </c>
      <c r="L11" s="44">
        <v>2</v>
      </c>
      <c r="M11" s="44">
        <v>2</v>
      </c>
      <c r="N11" s="44">
        <v>2</v>
      </c>
      <c r="O11" s="44">
        <v>2</v>
      </c>
      <c r="P11" s="44"/>
      <c r="Q11" s="44"/>
      <c r="R11" s="89">
        <f>SUM(B11:O11)</f>
        <v>10</v>
      </c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</row>
    <row r="12" spans="1:58">
      <c r="A12" s="40" t="str">
        <f>'Identité membres'!A12 &amp; " " &amp; 'Identité membres'!B12</f>
        <v>Ismael DJOUKOUE</v>
      </c>
      <c r="B12" s="44">
        <v>2</v>
      </c>
      <c r="C12" s="44">
        <v>2</v>
      </c>
      <c r="D12" s="44">
        <v>2</v>
      </c>
      <c r="E12" s="44">
        <v>2</v>
      </c>
      <c r="F12" s="44">
        <v>2</v>
      </c>
      <c r="G12" s="44">
        <v>2</v>
      </c>
      <c r="H12" s="44">
        <v>2</v>
      </c>
      <c r="I12" s="44">
        <v>2</v>
      </c>
      <c r="J12" s="44">
        <v>2</v>
      </c>
      <c r="K12" s="40" t="s">
        <v>20</v>
      </c>
      <c r="L12" s="44">
        <v>2</v>
      </c>
      <c r="M12" s="44"/>
      <c r="N12" s="44"/>
      <c r="O12" s="44"/>
      <c r="P12" s="44"/>
      <c r="Q12" s="44"/>
      <c r="R12" s="89">
        <f>SUM(B12:O12)</f>
        <v>20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</row>
    <row r="13" spans="1:58">
      <c r="A13" s="40" t="str">
        <f>'Identité membres'!A13 &amp; " " &amp; 'Identité membres'!B13</f>
        <v>Eric BOGNE</v>
      </c>
      <c r="B13" s="44" t="s">
        <v>20</v>
      </c>
      <c r="C13" s="44">
        <v>2</v>
      </c>
      <c r="D13" s="44" t="s">
        <v>20</v>
      </c>
      <c r="E13" s="44" t="s">
        <v>20</v>
      </c>
      <c r="F13" s="44" t="s">
        <v>20</v>
      </c>
      <c r="G13" s="74"/>
      <c r="H13" s="44" t="s">
        <v>20</v>
      </c>
      <c r="I13" s="44" t="s">
        <v>20</v>
      </c>
      <c r="J13" s="44" t="s">
        <v>20</v>
      </c>
      <c r="K13" s="44" t="s">
        <v>20</v>
      </c>
      <c r="L13" s="44"/>
      <c r="M13" s="44"/>
      <c r="N13" s="44"/>
      <c r="O13" s="44"/>
      <c r="P13" s="44"/>
      <c r="Q13" s="44"/>
      <c r="R13" s="89">
        <f>SUM(B13:O13)</f>
        <v>2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</row>
    <row r="14" spans="1:58">
      <c r="A14" s="40" t="str">
        <f>'Identité membres'!A14 &amp; " " &amp; 'Identité membres'!B14</f>
        <v>Christian LEUKAM</v>
      </c>
      <c r="B14" s="44" t="s">
        <v>20</v>
      </c>
      <c r="C14" s="44" t="s">
        <v>20</v>
      </c>
      <c r="D14" s="44" t="s">
        <v>20</v>
      </c>
      <c r="E14" s="44" t="s">
        <v>20</v>
      </c>
      <c r="F14" s="44">
        <v>2</v>
      </c>
      <c r="G14" s="44" t="s">
        <v>20</v>
      </c>
      <c r="H14" s="44" t="s">
        <v>20</v>
      </c>
      <c r="I14" s="44">
        <v>2</v>
      </c>
      <c r="J14" s="74"/>
      <c r="K14" s="44" t="s">
        <v>20</v>
      </c>
      <c r="L14" s="44"/>
      <c r="M14" s="44"/>
      <c r="N14" s="44"/>
      <c r="O14" s="44"/>
      <c r="P14" s="44"/>
      <c r="Q14" s="44"/>
      <c r="R14" s="89">
        <f>SUM(B14:O14)</f>
        <v>4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</row>
    <row r="15" spans="1:58">
      <c r="A15" s="40" t="str">
        <f>'Identité membres'!A15 &amp; " " &amp; 'Identité membres'!B15</f>
        <v>Kevin BOUANI</v>
      </c>
      <c r="B15" s="44" t="s">
        <v>20</v>
      </c>
      <c r="C15" s="44" t="s">
        <v>20</v>
      </c>
      <c r="D15" s="44" t="s">
        <v>20</v>
      </c>
      <c r="E15" s="44" t="s">
        <v>20</v>
      </c>
      <c r="F15" s="44" t="s">
        <v>20</v>
      </c>
      <c r="G15" s="44">
        <v>2</v>
      </c>
      <c r="H15" s="44"/>
      <c r="I15" s="44">
        <v>2</v>
      </c>
      <c r="J15" s="74"/>
      <c r="K15" s="74"/>
      <c r="L15" s="44"/>
      <c r="M15" s="44"/>
      <c r="N15" s="44"/>
      <c r="O15" s="44"/>
      <c r="P15" s="44"/>
      <c r="Q15" s="44"/>
      <c r="R15" s="89">
        <f>SUM(B15:O15)</f>
        <v>4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</row>
    <row r="16" spans="1:58">
      <c r="A16" s="40" t="str">
        <f>'Identité membres'!A16 &amp; " " &amp; 'Identité membres'!B16</f>
        <v>Boris DJEMI</v>
      </c>
      <c r="B16" s="44" t="s">
        <v>20</v>
      </c>
      <c r="C16" s="44" t="s">
        <v>20</v>
      </c>
      <c r="D16" s="44" t="s">
        <v>20</v>
      </c>
      <c r="E16" s="44" t="s">
        <v>20</v>
      </c>
      <c r="F16" s="44">
        <v>2</v>
      </c>
      <c r="G16" s="44" t="s">
        <v>20</v>
      </c>
      <c r="H16" s="44" t="s">
        <v>20</v>
      </c>
      <c r="I16" s="44" t="s">
        <v>20</v>
      </c>
      <c r="J16" s="74"/>
      <c r="K16" s="74"/>
      <c r="L16" s="44"/>
      <c r="M16" s="44"/>
      <c r="N16" s="44"/>
      <c r="O16" s="44"/>
      <c r="P16" s="44"/>
      <c r="Q16" s="44"/>
      <c r="R16" s="89">
        <f>SUM(B16:O16)</f>
        <v>2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</row>
    <row r="17" spans="1:58">
      <c r="A17" s="40" t="str">
        <f>'Identité membres'!A17 &amp; " " &amp; 'Identité membres'!B17</f>
        <v>Thierry AMBASSA</v>
      </c>
      <c r="B17" s="44" t="s">
        <v>20</v>
      </c>
      <c r="C17" s="44" t="s">
        <v>20</v>
      </c>
      <c r="D17" s="44" t="s">
        <v>20</v>
      </c>
      <c r="E17" s="44" t="s">
        <v>20</v>
      </c>
      <c r="F17" s="44" t="s">
        <v>20</v>
      </c>
      <c r="G17" s="44" t="s">
        <v>20</v>
      </c>
      <c r="H17" s="44" t="s">
        <v>20</v>
      </c>
      <c r="I17" s="44" t="s">
        <v>20</v>
      </c>
      <c r="J17" s="44" t="s">
        <v>20</v>
      </c>
      <c r="K17" s="44" t="s">
        <v>20</v>
      </c>
      <c r="L17" s="44" t="s">
        <v>20</v>
      </c>
      <c r="M17" s="44" t="s">
        <v>20</v>
      </c>
      <c r="N17" s="44"/>
      <c r="O17" s="44"/>
      <c r="P17" s="44"/>
      <c r="Q17" s="44"/>
      <c r="R17" s="89">
        <f>SUM(B17:O17)</f>
        <v>0</v>
      </c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</row>
    <row r="18" spans="1:58">
      <c r="A18" s="40" t="str">
        <f>'Identité membres'!A18 &amp; " " &amp; 'Identité membres'!B18</f>
        <v>Arnaud KOUDJOU</v>
      </c>
      <c r="B18" s="44" t="s">
        <v>20</v>
      </c>
      <c r="C18" s="44" t="s">
        <v>20</v>
      </c>
      <c r="D18" s="44" t="s">
        <v>20</v>
      </c>
      <c r="E18" s="44"/>
      <c r="F18" s="44" t="s">
        <v>20</v>
      </c>
      <c r="G18" s="44" t="s">
        <v>20</v>
      </c>
      <c r="H18" s="44"/>
      <c r="I18" s="44" t="s">
        <v>20</v>
      </c>
      <c r="J18" s="44" t="s">
        <v>20</v>
      </c>
      <c r="K18" s="44" t="s">
        <v>20</v>
      </c>
      <c r="L18" s="44"/>
      <c r="M18" s="44"/>
      <c r="N18" s="44"/>
      <c r="O18" s="44"/>
      <c r="P18" s="44"/>
      <c r="Q18" s="44"/>
      <c r="R18" s="89">
        <f>SUM(B18:O18)</f>
        <v>0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</row>
    <row r="19" spans="1:58">
      <c r="A19" s="40" t="str">
        <f>'Identité membres'!A19 &amp; " " &amp; 'Identité membres'!B19</f>
        <v>Christian NANYIM</v>
      </c>
      <c r="B19" s="44" t="s">
        <v>20</v>
      </c>
      <c r="C19" s="44" t="s">
        <v>20</v>
      </c>
      <c r="D19" s="44" t="s">
        <v>20</v>
      </c>
      <c r="E19" s="44" t="s">
        <v>20</v>
      </c>
      <c r="F19" s="44">
        <v>2</v>
      </c>
      <c r="G19" s="44" t="s">
        <v>20</v>
      </c>
      <c r="H19" s="44" t="s">
        <v>20</v>
      </c>
      <c r="I19" s="44" t="s">
        <v>20</v>
      </c>
      <c r="J19" s="44" t="s">
        <v>20</v>
      </c>
      <c r="K19" s="44" t="s">
        <v>20</v>
      </c>
      <c r="L19" s="44"/>
      <c r="M19" s="44"/>
      <c r="N19" s="44"/>
      <c r="O19" s="44"/>
      <c r="P19" s="44"/>
      <c r="Q19" s="44"/>
      <c r="R19" s="89">
        <f>SUM(B19:O19)</f>
        <v>2</v>
      </c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</row>
    <row r="20" spans="1:58">
      <c r="A20" s="40" t="str">
        <f>'Identité membres'!A20 &amp; " " &amp; 'Identité membres'!B20</f>
        <v>Ulrich POKA</v>
      </c>
      <c r="B20" s="44">
        <v>2</v>
      </c>
      <c r="C20" s="44" t="s">
        <v>20</v>
      </c>
      <c r="D20" s="44" t="s">
        <v>20</v>
      </c>
      <c r="E20" s="44" t="s">
        <v>20</v>
      </c>
      <c r="F20" s="44">
        <v>2</v>
      </c>
      <c r="G20" s="44" t="s">
        <v>20</v>
      </c>
      <c r="H20" s="74"/>
      <c r="I20" s="74"/>
      <c r="J20" s="44" t="s">
        <v>20</v>
      </c>
      <c r="K20" s="74"/>
      <c r="L20" s="44"/>
      <c r="M20" s="44"/>
      <c r="N20" s="44"/>
      <c r="O20" s="44"/>
      <c r="P20" s="44"/>
      <c r="Q20" s="44"/>
      <c r="R20" s="89">
        <f>SUM(B20:O20)</f>
        <v>4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</row>
    <row r="21" spans="1:58">
      <c r="A21" s="40" t="str">
        <f>'Identité membres'!A21 &amp; " " &amp; 'Identité membres'!B21</f>
        <v>Thierry  GWETA</v>
      </c>
      <c r="B21" s="44" t="s">
        <v>20</v>
      </c>
      <c r="C21" s="44" t="s">
        <v>20</v>
      </c>
      <c r="D21" s="44" t="s">
        <v>20</v>
      </c>
      <c r="E21" s="44" t="s">
        <v>20</v>
      </c>
      <c r="F21" s="44" t="s">
        <v>20</v>
      </c>
      <c r="G21" s="44" t="s">
        <v>20</v>
      </c>
      <c r="H21" s="44" t="s">
        <v>20</v>
      </c>
      <c r="I21" s="44" t="s">
        <v>20</v>
      </c>
      <c r="J21" s="44" t="s">
        <v>20</v>
      </c>
      <c r="K21" s="44" t="s">
        <v>20</v>
      </c>
      <c r="L21" s="44"/>
      <c r="M21" s="44"/>
      <c r="N21" s="44"/>
      <c r="O21" s="44"/>
      <c r="P21" s="44"/>
      <c r="Q21" s="44"/>
      <c r="R21" s="89">
        <f>SUM(B21:O21)</f>
        <v>0</v>
      </c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</row>
    <row r="22" spans="1:58">
      <c r="A22" s="40" t="str">
        <f>'Identité membres'!A22 &amp; " " &amp; 'Identité membres'!B22</f>
        <v>André BILONG</v>
      </c>
      <c r="B22" s="44" t="s">
        <v>20</v>
      </c>
      <c r="C22" s="44" t="s">
        <v>20</v>
      </c>
      <c r="D22" s="44" t="s">
        <v>20</v>
      </c>
      <c r="E22" s="44" t="s">
        <v>20</v>
      </c>
      <c r="F22" s="44" t="s">
        <v>20</v>
      </c>
      <c r="G22" s="44" t="s">
        <v>20</v>
      </c>
      <c r="H22" s="44" t="s">
        <v>20</v>
      </c>
      <c r="I22" s="44" t="s">
        <v>20</v>
      </c>
      <c r="J22" s="44" t="s">
        <v>20</v>
      </c>
      <c r="K22" s="44" t="s">
        <v>20</v>
      </c>
      <c r="L22" s="44"/>
      <c r="M22" s="44"/>
      <c r="N22" s="44"/>
      <c r="O22" s="44"/>
      <c r="P22" s="44"/>
      <c r="Q22" s="44"/>
      <c r="R22" s="89">
        <f>SUM(B22:O22)</f>
        <v>0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</row>
    <row r="23" spans="1:58">
      <c r="A23" s="40" t="str">
        <f>'Identité membres'!A23 &amp; " " &amp; 'Identité membres'!B23</f>
        <v xml:space="preserve"> Amza</v>
      </c>
      <c r="B23" s="44">
        <v>2</v>
      </c>
      <c r="C23" s="44">
        <v>2</v>
      </c>
      <c r="D23" s="44">
        <v>2</v>
      </c>
      <c r="E23" s="44">
        <v>2</v>
      </c>
      <c r="F23" s="44">
        <v>2</v>
      </c>
      <c r="G23" s="44">
        <v>2</v>
      </c>
      <c r="I23" s="44">
        <v>2</v>
      </c>
      <c r="J23" s="40" t="s">
        <v>20</v>
      </c>
      <c r="K23" s="44">
        <v>2</v>
      </c>
      <c r="L23" s="44">
        <v>2</v>
      </c>
      <c r="M23" s="44">
        <v>2</v>
      </c>
      <c r="N23" s="44"/>
      <c r="O23" s="44"/>
      <c r="P23" s="44"/>
      <c r="Q23" s="44"/>
      <c r="R23" s="89">
        <f>SUM(B23:O23)</f>
        <v>20</v>
      </c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</row>
    <row r="24" spans="1:58">
      <c r="A24" s="40" t="str">
        <f>'Identité membres'!A24 &amp; " " &amp; 'Identité membres'!B24</f>
        <v>Alex  KENNE</v>
      </c>
      <c r="B24" s="44" t="s">
        <v>20</v>
      </c>
      <c r="C24" s="44" t="s">
        <v>86</v>
      </c>
      <c r="D24" s="44" t="s">
        <v>20</v>
      </c>
      <c r="E24" s="44"/>
      <c r="F24" s="44">
        <v>2</v>
      </c>
      <c r="G24" s="74"/>
      <c r="H24" s="44" t="s">
        <v>20</v>
      </c>
      <c r="I24" s="74"/>
      <c r="J24" s="44">
        <v>2</v>
      </c>
      <c r="K24" s="40" t="s">
        <v>20</v>
      </c>
      <c r="L24" s="44">
        <v>2</v>
      </c>
      <c r="M24" s="44">
        <v>2</v>
      </c>
      <c r="N24" s="44"/>
      <c r="O24" s="44"/>
      <c r="P24" s="44"/>
      <c r="Q24" s="44"/>
      <c r="R24" s="89">
        <f>SUM(B24:O24)</f>
        <v>8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</row>
    <row r="25" spans="1:58">
      <c r="A25" s="40" t="str">
        <f>'Identité membres'!A25 &amp; " " &amp; 'Identité membres'!B25</f>
        <v>Eric NKOMO</v>
      </c>
      <c r="B25" s="44">
        <v>2</v>
      </c>
      <c r="C25" s="44">
        <v>2</v>
      </c>
      <c r="D25" s="44">
        <v>2</v>
      </c>
      <c r="E25" s="44">
        <v>2</v>
      </c>
      <c r="F25" s="40" t="s">
        <v>20</v>
      </c>
      <c r="G25" s="40" t="s">
        <v>20</v>
      </c>
      <c r="H25" s="40" t="s">
        <v>20</v>
      </c>
      <c r="I25" s="40" t="s">
        <v>20</v>
      </c>
      <c r="J25" s="44" t="s">
        <v>20</v>
      </c>
      <c r="K25" s="44" t="s">
        <v>20</v>
      </c>
      <c r="L25" s="44"/>
      <c r="M25" s="44"/>
      <c r="N25" s="44"/>
      <c r="O25" s="44"/>
      <c r="P25" s="44"/>
      <c r="Q25" s="44"/>
      <c r="R25" s="89">
        <f>SUM(B25:O25)</f>
        <v>8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</row>
    <row r="26" spans="1:58">
      <c r="A26" s="40" t="str">
        <f>'Identité membres'!A26 &amp; " " &amp; 'Identité membres'!B26</f>
        <v>Oscar TEMATIO</v>
      </c>
      <c r="B26" s="44">
        <v>2</v>
      </c>
      <c r="C26" s="44">
        <v>2</v>
      </c>
      <c r="D26" s="44">
        <v>2</v>
      </c>
      <c r="E26" s="44">
        <v>2</v>
      </c>
      <c r="F26" s="44">
        <v>2</v>
      </c>
      <c r="G26" s="40" t="s">
        <v>20</v>
      </c>
      <c r="H26" s="40" t="s">
        <v>20</v>
      </c>
      <c r="I26" s="44">
        <v>2</v>
      </c>
      <c r="J26" s="40" t="s">
        <v>20</v>
      </c>
      <c r="K26" s="44">
        <v>2</v>
      </c>
      <c r="L26" s="44">
        <v>2</v>
      </c>
      <c r="M26" s="44">
        <v>2</v>
      </c>
      <c r="N26" s="44">
        <v>2</v>
      </c>
      <c r="O26" s="44"/>
      <c r="P26" s="44"/>
      <c r="Q26" s="44"/>
      <c r="R26" s="89">
        <f>SUM(B26:O26)</f>
        <v>20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</row>
    <row r="27" spans="1:58">
      <c r="A27" s="40" t="str">
        <f>'Identité membres'!A27 &amp; " " &amp; 'Identité membres'!B27</f>
        <v>Benoit BAHEL</v>
      </c>
      <c r="B27" s="44">
        <v>2</v>
      </c>
      <c r="C27" s="44">
        <v>2</v>
      </c>
      <c r="D27" s="44">
        <v>2</v>
      </c>
      <c r="E27" s="44">
        <v>2</v>
      </c>
      <c r="F27" s="44">
        <v>2</v>
      </c>
      <c r="G27" s="44">
        <v>2</v>
      </c>
      <c r="H27" s="44">
        <v>2</v>
      </c>
      <c r="I27" s="44">
        <v>2</v>
      </c>
      <c r="J27" s="44">
        <v>2</v>
      </c>
      <c r="K27" s="44">
        <v>2</v>
      </c>
      <c r="L27" s="44">
        <v>2</v>
      </c>
      <c r="M27" s="44">
        <v>1</v>
      </c>
      <c r="N27" s="44"/>
      <c r="O27" s="44"/>
      <c r="P27" s="44"/>
      <c r="Q27" s="44"/>
      <c r="R27" s="89">
        <f>SUM(B27:O27)</f>
        <v>23</v>
      </c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</row>
    <row r="28" spans="1:58">
      <c r="A28" s="40" t="str">
        <f>'Identité membres'!A28 &amp; " " &amp; 'Identité membres'!B28</f>
        <v xml:space="preserve"> Marcelo</v>
      </c>
      <c r="B28" s="44" t="s">
        <v>20</v>
      </c>
      <c r="C28" s="44">
        <v>2</v>
      </c>
      <c r="D28" s="44">
        <v>2</v>
      </c>
      <c r="E28" s="44" t="s">
        <v>20</v>
      </c>
      <c r="F28" s="74"/>
      <c r="G28" s="44" t="s">
        <v>20</v>
      </c>
      <c r="H28" s="44" t="s">
        <v>20</v>
      </c>
      <c r="I28" s="44" t="s">
        <v>20</v>
      </c>
      <c r="J28" s="44" t="s">
        <v>20</v>
      </c>
      <c r="K28" s="44" t="s">
        <v>20</v>
      </c>
      <c r="L28" s="44"/>
      <c r="M28" s="44"/>
      <c r="N28" s="44"/>
      <c r="O28" s="44"/>
      <c r="P28" s="44"/>
      <c r="Q28" s="44"/>
      <c r="R28" s="89">
        <f>SUM(B28:O28)</f>
        <v>4</v>
      </c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</row>
    <row r="29" spans="1:58">
      <c r="A29" s="40" t="str">
        <f>'Identité membres'!A29 &amp; " " &amp; 'Identité membres'!B29</f>
        <v xml:space="preserve"> Mbappé</v>
      </c>
      <c r="B29" s="44">
        <v>2</v>
      </c>
      <c r="C29" s="44" t="s">
        <v>20</v>
      </c>
      <c r="D29" s="44">
        <v>2</v>
      </c>
      <c r="E29" s="44" t="s">
        <v>20</v>
      </c>
      <c r="F29" s="74"/>
      <c r="G29" s="74"/>
      <c r="H29" s="44" t="s">
        <v>20</v>
      </c>
      <c r="I29" s="44" t="s">
        <v>20</v>
      </c>
      <c r="J29" s="44" t="s">
        <v>20</v>
      </c>
      <c r="K29" s="74"/>
      <c r="L29" s="44"/>
      <c r="M29" s="44"/>
      <c r="N29" s="44"/>
      <c r="O29" s="44"/>
      <c r="P29" s="44"/>
      <c r="Q29" s="44"/>
      <c r="R29" s="89">
        <f>SUM(B29:O29)</f>
        <v>4</v>
      </c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</row>
    <row r="30" spans="1:58">
      <c r="A30" s="40" t="str">
        <f>'Identité membres'!A30 &amp; " " &amp; 'Identité membres'!B30</f>
        <v>Alex DJIOMENE</v>
      </c>
      <c r="B30" s="44" t="s">
        <v>20</v>
      </c>
      <c r="C30" s="44" t="s">
        <v>20</v>
      </c>
      <c r="D30" s="44" t="s">
        <v>20</v>
      </c>
      <c r="E30" s="44" t="s">
        <v>20</v>
      </c>
      <c r="F30" s="44" t="s">
        <v>20</v>
      </c>
      <c r="G30" s="44" t="s">
        <v>20</v>
      </c>
      <c r="H30" s="44" t="s">
        <v>20</v>
      </c>
      <c r="I30" s="44" t="s">
        <v>20</v>
      </c>
      <c r="J30" s="44" t="s">
        <v>20</v>
      </c>
      <c r="K30" s="44" t="s">
        <v>20</v>
      </c>
      <c r="L30" s="44"/>
      <c r="M30" s="44"/>
      <c r="N30" s="44"/>
      <c r="O30" s="44"/>
      <c r="P30" s="44"/>
      <c r="Q30" s="44"/>
      <c r="R30" s="89">
        <f>SUM(B30:O30)</f>
        <v>0</v>
      </c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</row>
    <row r="31" spans="1:58">
      <c r="A31" s="40" t="str">
        <f>'Identité membres'!A31 &amp; " " &amp; 'Identité membres'!B31</f>
        <v xml:space="preserve"> Habré</v>
      </c>
      <c r="B31" s="44" t="s">
        <v>20</v>
      </c>
      <c r="C31" s="44" t="s">
        <v>20</v>
      </c>
      <c r="D31" s="44" t="s">
        <v>20</v>
      </c>
      <c r="E31" s="44" t="s">
        <v>20</v>
      </c>
      <c r="F31" s="44">
        <v>2</v>
      </c>
      <c r="G31" s="74"/>
      <c r="H31" s="44" t="s">
        <v>20</v>
      </c>
      <c r="I31" s="44" t="s">
        <v>20</v>
      </c>
      <c r="J31" s="74"/>
      <c r="K31" s="44" t="s">
        <v>20</v>
      </c>
      <c r="L31" s="44"/>
      <c r="M31" s="44"/>
      <c r="N31" s="44"/>
      <c r="O31" s="44"/>
      <c r="P31" s="44"/>
      <c r="Q31" s="44"/>
      <c r="R31" s="89">
        <f>SUM(B31:O31)</f>
        <v>2</v>
      </c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</row>
    <row r="32" spans="1:58">
      <c r="A32" s="40" t="str">
        <f>'Identité membres'!A32 &amp; " " &amp; 'Identité membres'!B32</f>
        <v>Patrick NKODO</v>
      </c>
      <c r="B32" s="44" t="s">
        <v>20</v>
      </c>
      <c r="C32" s="44" t="s">
        <v>20</v>
      </c>
      <c r="D32" s="44" t="s">
        <v>20</v>
      </c>
      <c r="E32" s="44" t="s">
        <v>20</v>
      </c>
      <c r="F32" s="44" t="s">
        <v>20</v>
      </c>
      <c r="G32" s="44" t="s">
        <v>20</v>
      </c>
      <c r="H32" s="44" t="s">
        <v>20</v>
      </c>
      <c r="I32" s="44" t="s">
        <v>20</v>
      </c>
      <c r="J32" s="74"/>
      <c r="K32" s="44" t="s">
        <v>20</v>
      </c>
      <c r="L32" s="44"/>
      <c r="M32" s="44"/>
      <c r="N32" s="44"/>
      <c r="O32" s="44"/>
      <c r="P32" s="44"/>
      <c r="Q32" s="44"/>
      <c r="R32" s="89">
        <f>SUM(B32:O32)</f>
        <v>0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</row>
    <row r="33" spans="1:58">
      <c r="A33" s="40" t="str">
        <f>'Identité membres'!A33 &amp; " " &amp; 'Identité membres'!B33</f>
        <v>Stéphane TATSINKOU</v>
      </c>
      <c r="B33" s="44" t="s">
        <v>20</v>
      </c>
      <c r="C33" s="44">
        <v>2</v>
      </c>
      <c r="D33" s="44" t="s">
        <v>20</v>
      </c>
      <c r="E33" s="44"/>
      <c r="F33" s="44" t="s">
        <v>20</v>
      </c>
      <c r="G33" s="44" t="s">
        <v>20</v>
      </c>
      <c r="H33" s="44" t="s">
        <v>20</v>
      </c>
      <c r="I33" s="44" t="s">
        <v>20</v>
      </c>
      <c r="J33" s="44" t="s">
        <v>20</v>
      </c>
      <c r="K33" s="44" t="s">
        <v>20</v>
      </c>
      <c r="L33" s="44"/>
      <c r="M33" s="44"/>
      <c r="N33" s="44"/>
      <c r="O33" s="44"/>
      <c r="P33" s="44"/>
      <c r="Q33" s="44"/>
      <c r="R33" s="89">
        <f>SUM(B33:O33)</f>
        <v>2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</row>
    <row r="34" spans="1:58">
      <c r="A34" s="40" t="str">
        <f>'Identité membres'!A34 &amp; " " &amp; 'Identité membres'!B34</f>
        <v>Gabriel TSIDIE</v>
      </c>
      <c r="B34" s="44" t="s">
        <v>20</v>
      </c>
      <c r="C34" s="44" t="s">
        <v>20</v>
      </c>
      <c r="D34" s="44" t="s">
        <v>20</v>
      </c>
      <c r="E34" s="44" t="s">
        <v>20</v>
      </c>
      <c r="F34" s="44" t="s">
        <v>20</v>
      </c>
      <c r="G34" s="44" t="s">
        <v>20</v>
      </c>
      <c r="H34" s="44" t="s">
        <v>20</v>
      </c>
      <c r="I34" s="44" t="s">
        <v>20</v>
      </c>
      <c r="J34" s="44" t="s">
        <v>20</v>
      </c>
      <c r="K34" s="44" t="s">
        <v>20</v>
      </c>
      <c r="L34" s="44"/>
      <c r="M34" s="44"/>
      <c r="N34" s="44"/>
      <c r="O34" s="44"/>
      <c r="P34" s="44"/>
      <c r="Q34" s="44"/>
      <c r="R34" s="89">
        <f>SUM(B34:O34)</f>
        <v>0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</row>
    <row r="35" spans="1:58">
      <c r="A35" s="40" t="str">
        <f>'Identité membres'!A35 &amp; " " &amp; 'Identité membres'!B35</f>
        <v xml:space="preserve"> Christophe</v>
      </c>
      <c r="B35" s="44" t="s">
        <v>20</v>
      </c>
      <c r="C35" s="44" t="s">
        <v>20</v>
      </c>
      <c r="D35" s="44" t="s">
        <v>20</v>
      </c>
      <c r="E35" s="44" t="s">
        <v>20</v>
      </c>
      <c r="F35" s="44" t="s">
        <v>20</v>
      </c>
      <c r="G35" s="44" t="s">
        <v>20</v>
      </c>
      <c r="H35" s="44" t="s">
        <v>20</v>
      </c>
      <c r="I35" s="44" t="s">
        <v>20</v>
      </c>
      <c r="J35" s="44" t="s">
        <v>20</v>
      </c>
      <c r="K35" s="44" t="s">
        <v>20</v>
      </c>
      <c r="L35" s="44"/>
      <c r="M35" s="44"/>
      <c r="N35" s="44"/>
      <c r="O35" s="44"/>
      <c r="P35" s="44"/>
      <c r="Q35" s="44"/>
      <c r="R35" s="89">
        <f>SUM(B35:O35)</f>
        <v>0</v>
      </c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</row>
    <row r="36" spans="1:58">
      <c r="A36" s="40" t="str">
        <f>'Identité membres'!A36 &amp; " " &amp; 'Identité membres'!B36</f>
        <v>Mohamed SOUMAH</v>
      </c>
      <c r="B36" s="44" t="s">
        <v>20</v>
      </c>
      <c r="C36" s="44" t="s">
        <v>20</v>
      </c>
      <c r="D36" s="44" t="s">
        <v>20</v>
      </c>
      <c r="E36" s="44"/>
      <c r="F36" s="44" t="s">
        <v>20</v>
      </c>
      <c r="G36" s="44" t="s">
        <v>20</v>
      </c>
      <c r="H36" s="44" t="s">
        <v>20</v>
      </c>
      <c r="I36" s="44" t="s">
        <v>20</v>
      </c>
      <c r="J36" s="44" t="s">
        <v>20</v>
      </c>
      <c r="K36" s="74"/>
      <c r="L36" s="44"/>
      <c r="M36" s="44"/>
      <c r="N36" s="44"/>
      <c r="O36" s="44"/>
      <c r="P36" s="44"/>
      <c r="Q36" s="44"/>
      <c r="R36" s="89">
        <f>SUM(B36:O36)</f>
        <v>0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</row>
    <row r="37" spans="1:58">
      <c r="A37" s="40" t="str">
        <f>'Identité membres'!A37 &amp; " " &amp; 'Identité membres'!B37</f>
        <v xml:space="preserve"> Pounds</v>
      </c>
      <c r="B37" s="44" t="s">
        <v>20</v>
      </c>
      <c r="C37" s="44" t="s">
        <v>20</v>
      </c>
      <c r="D37" s="44" t="s">
        <v>20</v>
      </c>
      <c r="E37" s="44" t="s">
        <v>20</v>
      </c>
      <c r="F37" s="44" t="s">
        <v>20</v>
      </c>
      <c r="G37" s="44" t="s">
        <v>20</v>
      </c>
      <c r="H37" s="44" t="s">
        <v>20</v>
      </c>
      <c r="I37" s="44" t="s">
        <v>20</v>
      </c>
      <c r="J37" s="44" t="s">
        <v>20</v>
      </c>
      <c r="K37" s="44" t="s">
        <v>20</v>
      </c>
      <c r="L37" s="44"/>
      <c r="M37" s="44"/>
      <c r="N37" s="44"/>
      <c r="O37" s="44"/>
      <c r="P37" s="44"/>
      <c r="Q37" s="44"/>
      <c r="R37" s="89">
        <f>SUM(B37:O37)</f>
        <v>0</v>
      </c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</row>
    <row r="38" spans="1:58">
      <c r="A38" s="40" t="str">
        <f>'Identité membres'!A38 &amp; " " &amp; 'Identité membres'!B38</f>
        <v>Esaie SICHELA</v>
      </c>
      <c r="B38" s="44" t="s">
        <v>20</v>
      </c>
      <c r="C38" s="44" t="s">
        <v>20</v>
      </c>
      <c r="D38" s="44" t="s">
        <v>20</v>
      </c>
      <c r="E38" s="44" t="s">
        <v>20</v>
      </c>
      <c r="F38" s="44" t="s">
        <v>20</v>
      </c>
      <c r="G38" s="44" t="s">
        <v>20</v>
      </c>
      <c r="H38" s="44" t="s">
        <v>20</v>
      </c>
      <c r="I38" s="74"/>
      <c r="J38" s="74"/>
      <c r="K38" s="44" t="s">
        <v>20</v>
      </c>
      <c r="L38" s="44"/>
      <c r="M38" s="44"/>
      <c r="N38" s="44"/>
      <c r="O38" s="44"/>
      <c r="P38" s="44"/>
      <c r="Q38" s="44"/>
      <c r="R38" s="89">
        <f>SUM(B38:O38)</f>
        <v>0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</row>
    <row r="39" spans="1:58">
      <c r="A39" s="40" t="str">
        <f>'Identité membres'!A39 &amp; " " &amp; 'Identité membres'!B39</f>
        <v xml:space="preserve"> David Eboutou</v>
      </c>
      <c r="B39" s="44">
        <v>2</v>
      </c>
      <c r="C39" s="44" t="s">
        <v>20</v>
      </c>
      <c r="D39" s="44" t="s">
        <v>20</v>
      </c>
      <c r="E39" s="44" t="s">
        <v>20</v>
      </c>
      <c r="F39" s="44" t="s">
        <v>20</v>
      </c>
      <c r="G39" s="44" t="s">
        <v>20</v>
      </c>
      <c r="H39" s="44" t="s">
        <v>20</v>
      </c>
      <c r="I39" s="44" t="s">
        <v>20</v>
      </c>
      <c r="J39" s="44">
        <v>2</v>
      </c>
      <c r="K39" s="74"/>
      <c r="L39" s="44"/>
      <c r="M39" s="44"/>
      <c r="N39" s="44"/>
      <c r="O39" s="44"/>
      <c r="P39" s="44"/>
      <c r="Q39" s="44"/>
      <c r="R39" s="89">
        <f>SUM(B39:O39)</f>
        <v>4</v>
      </c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</row>
    <row r="40" spans="1:58">
      <c r="A40" s="40" t="str">
        <f>'Identité membres'!A40 &amp; " " &amp; 'Identité membres'!B40</f>
        <v xml:space="preserve"> Lionel T</v>
      </c>
      <c r="B40" s="44" t="s">
        <v>20</v>
      </c>
      <c r="C40" s="44" t="s">
        <v>20</v>
      </c>
      <c r="D40" s="44" t="s">
        <v>20</v>
      </c>
      <c r="E40" s="44" t="s">
        <v>20</v>
      </c>
      <c r="F40" s="44" t="s">
        <v>20</v>
      </c>
      <c r="G40" s="44" t="s">
        <v>20</v>
      </c>
      <c r="H40" s="44" t="s">
        <v>20</v>
      </c>
      <c r="I40" s="44" t="s">
        <v>20</v>
      </c>
      <c r="J40" s="44" t="s">
        <v>20</v>
      </c>
      <c r="K40" s="44" t="s">
        <v>20</v>
      </c>
      <c r="L40" s="44"/>
      <c r="M40" s="44"/>
      <c r="N40" s="44"/>
      <c r="O40" s="44"/>
      <c r="P40" s="44"/>
      <c r="Q40" s="44"/>
      <c r="R40" s="89">
        <f>SUM(B40:O40)</f>
        <v>0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</row>
    <row r="41" spans="1:58">
      <c r="A41" s="40" t="str">
        <f>'Identité membres'!A41 &amp; " " &amp; 'Identité membres'!B41</f>
        <v xml:space="preserve"> Joseph Steve</v>
      </c>
      <c r="B41" s="44" t="s">
        <v>20</v>
      </c>
      <c r="C41" s="44" t="s">
        <v>20</v>
      </c>
      <c r="D41" s="44" t="s">
        <v>20</v>
      </c>
      <c r="E41" s="74"/>
      <c r="F41" s="44" t="s">
        <v>20</v>
      </c>
      <c r="G41" s="44" t="s">
        <v>20</v>
      </c>
      <c r="H41" s="44" t="s">
        <v>20</v>
      </c>
      <c r="I41" s="44" t="s">
        <v>20</v>
      </c>
      <c r="J41" s="74"/>
      <c r="K41" s="74"/>
      <c r="L41" s="44"/>
      <c r="M41" s="44"/>
      <c r="N41" s="44"/>
      <c r="O41" s="44"/>
      <c r="P41" s="44"/>
      <c r="Q41" s="44"/>
      <c r="R41" s="89">
        <f>SUM(B41:O41)</f>
        <v>0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</row>
    <row r="42" spans="1:58">
      <c r="A42" s="40" t="str">
        <f>'Identité membres'!A42 &amp; " " &amp; 'Identité membres'!B42</f>
        <v>Franck KOUATE</v>
      </c>
      <c r="B42" s="44" t="s">
        <v>20</v>
      </c>
      <c r="C42" s="44" t="s">
        <v>20</v>
      </c>
      <c r="D42" s="44" t="s">
        <v>20</v>
      </c>
      <c r="E42" s="44" t="s">
        <v>20</v>
      </c>
      <c r="F42" s="74"/>
      <c r="G42" s="44" t="s">
        <v>20</v>
      </c>
      <c r="H42" s="44" t="s">
        <v>20</v>
      </c>
      <c r="I42" s="44">
        <v>2</v>
      </c>
      <c r="J42" s="74"/>
      <c r="K42" s="44" t="s">
        <v>20</v>
      </c>
      <c r="L42" s="44"/>
      <c r="M42" s="44"/>
      <c r="N42" s="44"/>
      <c r="O42" s="44"/>
      <c r="P42" s="44"/>
      <c r="Q42" s="44"/>
      <c r="R42" s="89">
        <f>SUM(B42:O42)</f>
        <v>2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</row>
    <row r="43" spans="1:58">
      <c r="A43" s="40" t="str">
        <f>'Identité membres'!A43 &amp; " " &amp; 'Identité membres'!B43</f>
        <v>Claude MBEGA</v>
      </c>
      <c r="B43" s="44" t="s">
        <v>20</v>
      </c>
      <c r="C43" s="44" t="s">
        <v>20</v>
      </c>
      <c r="D43" s="44" t="s">
        <v>20</v>
      </c>
      <c r="E43" s="44" t="s">
        <v>20</v>
      </c>
      <c r="F43" s="44" t="s">
        <v>20</v>
      </c>
      <c r="G43" s="44" t="s">
        <v>20</v>
      </c>
      <c r="H43" s="44" t="s">
        <v>20</v>
      </c>
      <c r="I43" s="44" t="s">
        <v>20</v>
      </c>
      <c r="J43" s="44" t="s">
        <v>20</v>
      </c>
      <c r="K43" s="44" t="s">
        <v>20</v>
      </c>
      <c r="L43" s="44"/>
      <c r="M43" s="44"/>
      <c r="N43" s="44"/>
      <c r="O43" s="44"/>
      <c r="P43" s="44"/>
      <c r="Q43" s="44"/>
      <c r="R43" s="89">
        <f>SUM(B43:O43)</f>
        <v>0</v>
      </c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</row>
    <row r="44" spans="1:58">
      <c r="A44" s="40" t="str">
        <f>'Identité membres'!A44 &amp; " " &amp; 'Identité membres'!B44</f>
        <v>Ghislain WANDJI</v>
      </c>
      <c r="B44" s="44" t="s">
        <v>20</v>
      </c>
      <c r="C44" s="44" t="s">
        <v>20</v>
      </c>
      <c r="D44" s="44" t="s">
        <v>20</v>
      </c>
      <c r="E44" s="44" t="s">
        <v>20</v>
      </c>
      <c r="F44" s="44" t="s">
        <v>20</v>
      </c>
      <c r="G44" s="44" t="s">
        <v>20</v>
      </c>
      <c r="H44" s="44" t="s">
        <v>20</v>
      </c>
      <c r="I44" s="44" t="s">
        <v>20</v>
      </c>
      <c r="J44" s="44" t="s">
        <v>20</v>
      </c>
      <c r="K44" s="44" t="s">
        <v>20</v>
      </c>
      <c r="L44" s="44"/>
      <c r="M44" s="44"/>
      <c r="N44" s="44"/>
      <c r="O44" s="44"/>
      <c r="P44" s="44"/>
      <c r="Q44" s="44"/>
      <c r="R44" s="89">
        <f>SUM(B44:O44)</f>
        <v>0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</row>
    <row r="45" spans="1:58">
      <c r="A45" s="40" t="str">
        <f>'Identité membres'!A45 &amp; " " &amp; 'Identité membres'!B45</f>
        <v xml:space="preserve"> Christian Dana</v>
      </c>
      <c r="B45" s="44" t="s">
        <v>20</v>
      </c>
      <c r="C45" s="44" t="s">
        <v>20</v>
      </c>
      <c r="D45" s="44" t="s">
        <v>20</v>
      </c>
      <c r="E45" s="44" t="s">
        <v>20</v>
      </c>
      <c r="F45" s="44" t="s">
        <v>20</v>
      </c>
      <c r="G45" s="44">
        <v>2</v>
      </c>
      <c r="H45" s="40" t="s">
        <v>20</v>
      </c>
      <c r="I45" s="40" t="s">
        <v>20</v>
      </c>
      <c r="J45" s="40" t="s">
        <v>20</v>
      </c>
      <c r="K45" s="44" t="s">
        <v>20</v>
      </c>
      <c r="L45" s="44">
        <v>2</v>
      </c>
      <c r="M45" s="44">
        <v>2</v>
      </c>
      <c r="N45" s="44">
        <v>2</v>
      </c>
      <c r="O45" s="44">
        <v>2</v>
      </c>
      <c r="P45" s="44"/>
      <c r="Q45" s="44"/>
      <c r="R45" s="89">
        <f>SUM(B45:O45)</f>
        <v>10</v>
      </c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</row>
    <row r="46" spans="1:58">
      <c r="A46" s="40" t="str">
        <f>'Identité membres'!A46 &amp; " " &amp; 'Identité membres'!B46</f>
        <v xml:space="preserve"> Joel Hans</v>
      </c>
      <c r="B46" s="44" t="s">
        <v>20</v>
      </c>
      <c r="C46" s="44" t="s">
        <v>20</v>
      </c>
      <c r="D46" s="44" t="s">
        <v>20</v>
      </c>
      <c r="E46" s="44" t="s">
        <v>20</v>
      </c>
      <c r="F46" s="44" t="s">
        <v>20</v>
      </c>
      <c r="G46" s="44" t="s">
        <v>20</v>
      </c>
      <c r="H46" s="44" t="s">
        <v>20</v>
      </c>
      <c r="I46" s="44" t="s">
        <v>20</v>
      </c>
      <c r="J46" s="44" t="s">
        <v>20</v>
      </c>
      <c r="K46" s="44" t="s">
        <v>20</v>
      </c>
      <c r="L46" s="44"/>
      <c r="M46" s="44"/>
      <c r="N46" s="44"/>
      <c r="O46" s="44"/>
      <c r="P46" s="44"/>
      <c r="Q46" s="44"/>
      <c r="R46" s="89">
        <f>SUM(B46:O46)</f>
        <v>0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</row>
    <row r="47" spans="1:58">
      <c r="A47" s="40" t="str">
        <f>'Identité membres'!A47 &amp; " " &amp; 'Identité membres'!B47</f>
        <v xml:space="preserve"> Patrick T</v>
      </c>
      <c r="B47" s="44" t="s">
        <v>20</v>
      </c>
      <c r="C47" s="44" t="s">
        <v>20</v>
      </c>
      <c r="D47" s="44" t="s">
        <v>20</v>
      </c>
      <c r="E47" s="44" t="s">
        <v>20</v>
      </c>
      <c r="F47" s="44" t="s">
        <v>20</v>
      </c>
      <c r="G47" s="44" t="s">
        <v>20</v>
      </c>
      <c r="H47" s="44" t="s">
        <v>20</v>
      </c>
      <c r="I47" s="44" t="s">
        <v>20</v>
      </c>
      <c r="J47" s="44" t="s">
        <v>20</v>
      </c>
      <c r="K47" s="44" t="s">
        <v>20</v>
      </c>
      <c r="L47" s="44"/>
      <c r="M47" s="44"/>
      <c r="N47" s="44"/>
      <c r="O47" s="44"/>
      <c r="P47" s="44"/>
      <c r="Q47" s="44"/>
      <c r="R47" s="89">
        <f>SUM(B47:O47)</f>
        <v>0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</row>
    <row r="48" spans="1:58">
      <c r="A48" s="40" t="str">
        <f>'Identité membres'!A48 &amp; " " &amp; 'Identité membres'!B48</f>
        <v xml:space="preserve"> Detcho</v>
      </c>
      <c r="B48" s="44" t="s">
        <v>20</v>
      </c>
      <c r="C48" s="44" t="s">
        <v>20</v>
      </c>
      <c r="D48" s="44" t="s">
        <v>20</v>
      </c>
      <c r="E48" s="44" t="s">
        <v>20</v>
      </c>
      <c r="F48" s="44" t="s">
        <v>20</v>
      </c>
      <c r="G48" s="44" t="s">
        <v>20</v>
      </c>
      <c r="H48" s="44" t="s">
        <v>20</v>
      </c>
      <c r="I48" s="44" t="s">
        <v>20</v>
      </c>
      <c r="J48" s="44" t="s">
        <v>20</v>
      </c>
      <c r="K48" s="44" t="s">
        <v>20</v>
      </c>
      <c r="L48" s="44"/>
      <c r="M48" s="44"/>
      <c r="N48" s="44"/>
      <c r="O48" s="44"/>
      <c r="P48" s="44"/>
      <c r="Q48" s="44"/>
      <c r="R48" s="89">
        <f>SUM(B48:O48)</f>
        <v>0</v>
      </c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</row>
    <row r="49" spans="1:58">
      <c r="A49" s="40" t="str">
        <f>'Identité membres'!A49 &amp; " " &amp; 'Identité membres'!B49</f>
        <v xml:space="preserve"> Dominique Thionville</v>
      </c>
      <c r="B49" s="44" t="s">
        <v>20</v>
      </c>
      <c r="C49" s="44" t="s">
        <v>20</v>
      </c>
      <c r="D49" s="44" t="s">
        <v>20</v>
      </c>
      <c r="E49" s="44" t="s">
        <v>20</v>
      </c>
      <c r="F49" s="44" t="s">
        <v>20</v>
      </c>
      <c r="G49" s="44" t="s">
        <v>20</v>
      </c>
      <c r="H49" s="44" t="s">
        <v>20</v>
      </c>
      <c r="I49" s="44" t="s">
        <v>20</v>
      </c>
      <c r="J49" s="44" t="s">
        <v>20</v>
      </c>
      <c r="K49" s="44" t="s">
        <v>20</v>
      </c>
      <c r="L49" s="44"/>
      <c r="M49" s="44"/>
      <c r="N49" s="44"/>
      <c r="O49" s="44"/>
      <c r="P49" s="44"/>
      <c r="Q49" s="44"/>
      <c r="R49" s="89">
        <f>SUM(B49:O49)</f>
        <v>0</v>
      </c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</row>
    <row r="50" spans="1:58">
      <c r="A50" s="40" t="str">
        <f>'Identité membres'!A50 &amp; " " &amp; 'Identité membres'!B50</f>
        <v xml:space="preserve"> Philémon K</v>
      </c>
      <c r="B50" s="44">
        <v>2</v>
      </c>
      <c r="C50" s="44" t="s">
        <v>20</v>
      </c>
      <c r="D50" s="44" t="s">
        <v>20</v>
      </c>
      <c r="E50" s="44" t="s">
        <v>20</v>
      </c>
      <c r="F50" s="44">
        <v>2</v>
      </c>
      <c r="G50" s="44" t="s">
        <v>20</v>
      </c>
      <c r="H50" s="44" t="s">
        <v>20</v>
      </c>
      <c r="I50" s="44" t="s">
        <v>20</v>
      </c>
      <c r="J50" s="44" t="s">
        <v>20</v>
      </c>
      <c r="K50" s="44" t="s">
        <v>20</v>
      </c>
      <c r="L50" s="44"/>
      <c r="M50" s="44"/>
      <c r="N50" s="44"/>
      <c r="O50" s="44"/>
      <c r="P50" s="44"/>
      <c r="Q50" s="44"/>
      <c r="R50" s="89">
        <f>SUM(B50:O50)</f>
        <v>4</v>
      </c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</row>
    <row r="51" spans="1:58">
      <c r="A51" s="40" t="str">
        <f>'Identité membres'!A51 &amp; " " &amp; 'Identité membres'!B51</f>
        <v xml:space="preserve"> Stéphane D</v>
      </c>
      <c r="B51" s="44" t="s">
        <v>20</v>
      </c>
      <c r="C51" s="44" t="s">
        <v>20</v>
      </c>
      <c r="D51" s="44" t="s">
        <v>20</v>
      </c>
      <c r="E51" s="44" t="s">
        <v>20</v>
      </c>
      <c r="F51" s="44" t="s">
        <v>20</v>
      </c>
      <c r="G51" s="44" t="s">
        <v>20</v>
      </c>
      <c r="H51" s="44" t="s">
        <v>20</v>
      </c>
      <c r="I51" s="44" t="s">
        <v>20</v>
      </c>
      <c r="J51" s="44" t="s">
        <v>20</v>
      </c>
      <c r="K51" s="44" t="s">
        <v>20</v>
      </c>
      <c r="L51" s="44"/>
      <c r="M51" s="44"/>
      <c r="N51" s="44"/>
      <c r="O51" s="44"/>
      <c r="P51" s="44"/>
      <c r="Q51" s="44"/>
      <c r="R51" s="89">
        <f>SUM(B51:O51)</f>
        <v>0</v>
      </c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</row>
    <row r="52" spans="1:58">
      <c r="A52" s="40" t="str">
        <f>'Identité membres'!A52 &amp; " " &amp; 'Identité membres'!B52</f>
        <v>Jean KEGNE</v>
      </c>
      <c r="B52" s="44" t="s">
        <v>20</v>
      </c>
      <c r="C52" s="44" t="s">
        <v>20</v>
      </c>
      <c r="D52" s="44" t="s">
        <v>20</v>
      </c>
      <c r="E52" s="44" t="s">
        <v>20</v>
      </c>
      <c r="F52" s="44" t="s">
        <v>20</v>
      </c>
      <c r="G52" s="44" t="s">
        <v>20</v>
      </c>
      <c r="H52" s="44" t="s">
        <v>20</v>
      </c>
      <c r="I52" s="44" t="s">
        <v>20</v>
      </c>
      <c r="J52" s="44" t="s">
        <v>20</v>
      </c>
      <c r="K52" s="44" t="s">
        <v>20</v>
      </c>
      <c r="L52" s="44"/>
      <c r="M52" s="44"/>
      <c r="N52" s="44"/>
      <c r="O52" s="44"/>
      <c r="P52" s="44"/>
      <c r="Q52" s="44"/>
      <c r="R52" s="89">
        <f>SUM(B52:O52)</f>
        <v>0</v>
      </c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</row>
    <row r="53" spans="1:58">
      <c r="A53" s="40" t="str">
        <f>'Identité membres'!A53 &amp; " " &amp; 'Identité membres'!B53</f>
        <v xml:space="preserve"> Big Hervé</v>
      </c>
      <c r="B53" s="44" t="s">
        <v>20</v>
      </c>
      <c r="C53" s="44" t="s">
        <v>20</v>
      </c>
      <c r="D53" s="44" t="s">
        <v>20</v>
      </c>
      <c r="E53" s="44" t="s">
        <v>20</v>
      </c>
      <c r="F53" s="44" t="s">
        <v>20</v>
      </c>
      <c r="G53" s="44" t="s">
        <v>20</v>
      </c>
      <c r="H53" s="44" t="s">
        <v>20</v>
      </c>
      <c r="I53" s="44" t="s">
        <v>20</v>
      </c>
      <c r="J53" s="44" t="s">
        <v>20</v>
      </c>
      <c r="K53" s="44" t="s">
        <v>20</v>
      </c>
      <c r="L53" s="44"/>
      <c r="M53" s="44"/>
      <c r="N53" s="44"/>
      <c r="O53" s="44"/>
      <c r="P53" s="44"/>
      <c r="Q53" s="44"/>
      <c r="R53" s="89">
        <f>SUM(B53:O53)</f>
        <v>0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</row>
    <row r="54" spans="1:58">
      <c r="A54" s="40" t="s">
        <v>87</v>
      </c>
      <c r="B54" s="44" t="s">
        <v>20</v>
      </c>
      <c r="C54" s="44">
        <v>2</v>
      </c>
      <c r="D54" s="44">
        <v>2</v>
      </c>
      <c r="E54" s="44">
        <v>2</v>
      </c>
      <c r="F54" s="44">
        <v>2</v>
      </c>
      <c r="G54" s="44">
        <v>2</v>
      </c>
      <c r="H54" s="40" t="s">
        <v>20</v>
      </c>
      <c r="I54" s="44">
        <v>2</v>
      </c>
      <c r="J54" s="40" t="s">
        <v>20</v>
      </c>
      <c r="K54" s="44">
        <v>2</v>
      </c>
      <c r="L54" s="44"/>
      <c r="M54" s="44"/>
      <c r="N54" s="44"/>
      <c r="O54" s="44"/>
      <c r="P54" s="44"/>
      <c r="Q54" s="44"/>
      <c r="R54" s="89">
        <f>SUM(B54:O54)</f>
        <v>14</v>
      </c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</row>
    <row r="55" spans="1:58">
      <c r="A55" s="40" t="s">
        <v>88</v>
      </c>
      <c r="B55" s="44" t="s">
        <v>20</v>
      </c>
      <c r="C55" s="44" t="s">
        <v>20</v>
      </c>
      <c r="D55" s="44" t="s">
        <v>20</v>
      </c>
      <c r="E55" s="44" t="s">
        <v>20</v>
      </c>
      <c r="F55" s="74"/>
      <c r="G55" s="44" t="s">
        <v>20</v>
      </c>
      <c r="H55" s="44" t="s">
        <v>20</v>
      </c>
      <c r="I55" s="44" t="s">
        <v>20</v>
      </c>
      <c r="J55" s="44" t="s">
        <v>20</v>
      </c>
      <c r="K55" s="44" t="s">
        <v>20</v>
      </c>
      <c r="L55" s="44"/>
      <c r="M55" s="44"/>
      <c r="N55" s="44"/>
      <c r="O55" s="44"/>
      <c r="P55" s="44"/>
      <c r="Q55" s="44"/>
      <c r="R55" s="89">
        <f>SUM(B55:O55)</f>
        <v>0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</row>
    <row r="56" spans="1:58">
      <c r="A56" s="40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89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</row>
    <row r="57" spans="1:58">
      <c r="A57" s="40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</row>
    <row r="58" spans="1:58" ht="18">
      <c r="A58" s="81" t="s">
        <v>89</v>
      </c>
      <c r="B58" s="82">
        <f>ROWS(B2:B55)-COUNTIF(B2:B55,"x")</f>
        <v>14</v>
      </c>
      <c r="C58" s="82">
        <f>ROWS(C2:C55)-COUNTIF(C2:C55,"x")</f>
        <v>14</v>
      </c>
      <c r="D58" s="82">
        <f>ROWS(D2:D55)-COUNTIF(D2:D55,"x")</f>
        <v>10</v>
      </c>
      <c r="E58" s="82">
        <f>ROWS(E2:E55)-COUNTIF(E2:E55,"x")</f>
        <v>13</v>
      </c>
      <c r="F58" s="82">
        <f>ROWS(F2:F55)-COUNTIF(F2:F55,"x")</f>
        <v>22</v>
      </c>
      <c r="G58" s="82">
        <f>ROWS(G2:G55)-COUNTIF(G2:G55,"x")</f>
        <v>16</v>
      </c>
      <c r="H58" s="82">
        <f>ROWS(H2:H55)-COUNTIF(H2:H55,"x")</f>
        <v>7</v>
      </c>
      <c r="I58" s="82">
        <f>ROWS(I2:I55)-COUNTIF(I2:I55,"x")</f>
        <v>14</v>
      </c>
      <c r="J58" s="82">
        <f>ROWS(J2:J55)-COUNTIF(J2:J55,"x")</f>
        <v>15</v>
      </c>
      <c r="K58" s="82"/>
      <c r="L58" s="82"/>
      <c r="M58" s="82"/>
      <c r="N58" s="82"/>
      <c r="O58" s="82"/>
      <c r="P58" s="83"/>
      <c r="Q58" s="44"/>
      <c r="R58" s="46">
        <f>SUM(R2:R55)</f>
        <v>257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</row>
    <row r="59" spans="1:58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</row>
    <row r="60" spans="1:58">
      <c r="A60" s="68" t="s">
        <v>90</v>
      </c>
      <c r="B60" s="46">
        <f>SUM(B2:B55)</f>
        <v>28</v>
      </c>
      <c r="C60" s="46">
        <f>SUM(C2:C55)</f>
        <v>28</v>
      </c>
      <c r="D60" s="46">
        <f>SUM(D2:D55)</f>
        <v>20</v>
      </c>
      <c r="E60" s="46">
        <f>SUM(E2:E55)</f>
        <v>16</v>
      </c>
      <c r="F60" s="46">
        <f>SUM(F2:F55)</f>
        <v>36</v>
      </c>
      <c r="G60" s="46">
        <f>SUM(G2:G55)</f>
        <v>24</v>
      </c>
      <c r="H60" s="46">
        <f>SUM(H2:H55)</f>
        <v>6</v>
      </c>
      <c r="I60" s="46">
        <f>SUM(I2:I55)</f>
        <v>20</v>
      </c>
      <c r="J60" s="46">
        <f>SUM(J2:J55)</f>
        <v>12</v>
      </c>
      <c r="K60" s="46">
        <f>SUM(K2:K55)</f>
        <v>14</v>
      </c>
      <c r="L60" s="46">
        <f>SUM(L2:L55)</f>
        <v>23</v>
      </c>
      <c r="M60" s="46">
        <f>SUM(M2:M55)</f>
        <v>16</v>
      </c>
      <c r="N60" s="46">
        <f>SUM(N2:N55)</f>
        <v>8</v>
      </c>
      <c r="O60" s="46">
        <f>SUM(O2:O55)</f>
        <v>6</v>
      </c>
      <c r="P60" s="46">
        <f>SUM(P2:P55)</f>
        <v>0</v>
      </c>
    </row>
    <row r="63" spans="1:58">
      <c r="A63" s="41" t="s">
        <v>91</v>
      </c>
      <c r="B63" s="46">
        <f>SUM(B60:DT60)</f>
        <v>257</v>
      </c>
    </row>
    <row r="66" spans="1:1">
      <c r="A66" s="41" t="s">
        <v>92</v>
      </c>
    </row>
    <row r="67" spans="1:1">
      <c r="A67" s="42" t="s">
        <v>93</v>
      </c>
    </row>
    <row r="68" spans="1:1">
      <c r="A68" s="4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DEC-7F1B-4AFC-8354-5E61455BED73}">
  <dimension ref="A1:AU75"/>
  <sheetViews>
    <sheetView topLeftCell="A57" workbookViewId="0">
      <selection activeCell="A80" sqref="A80"/>
    </sheetView>
  </sheetViews>
  <sheetFormatPr defaultRowHeight="15"/>
  <cols>
    <col min="1" max="1" width="30" customWidth="1"/>
    <col min="2" max="2" width="15.5703125" customWidth="1"/>
    <col min="3" max="3" width="23.7109375" customWidth="1"/>
    <col min="4" max="4" width="13.85546875" customWidth="1"/>
  </cols>
  <sheetData>
    <row r="1" spans="1:47" s="49" customFormat="1" ht="15.75">
      <c r="A1" s="47" t="s">
        <v>95</v>
      </c>
      <c r="B1" s="59" t="s">
        <v>96</v>
      </c>
      <c r="C1" s="47" t="s">
        <v>97</v>
      </c>
      <c r="D1" s="84" t="s">
        <v>5</v>
      </c>
      <c r="E1" s="48" t="s">
        <v>98</v>
      </c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</row>
    <row r="2" spans="1:47" ht="18">
      <c r="A2" s="40" t="str">
        <f>'Identité membres'!A2 &amp; " " &amp; 'Identité membres'!B2</f>
        <v>Patrick NJIWOUA</v>
      </c>
      <c r="B2" s="12">
        <v>10</v>
      </c>
      <c r="C2" s="45">
        <v>20</v>
      </c>
      <c r="D2" s="85">
        <v>20</v>
      </c>
      <c r="E2" s="86">
        <v>10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</row>
    <row r="3" spans="1:47" ht="18">
      <c r="A3" s="40" t="str">
        <f>'Identité membres'!A3 &amp; " " &amp; 'Identité membres'!B3</f>
        <v>Celestin ELOCK SON</v>
      </c>
      <c r="B3" s="39"/>
      <c r="C3" s="44"/>
      <c r="D3" s="85">
        <v>20</v>
      </c>
      <c r="E3" s="86">
        <v>10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</row>
    <row r="4" spans="1:47" ht="18">
      <c r="A4" s="40" t="str">
        <f>'Identité membres'!A4 &amp; " " &amp; 'Identité membres'!B4</f>
        <v>Steve KAMCHE</v>
      </c>
      <c r="B4" s="12">
        <v>10</v>
      </c>
      <c r="C4" s="45">
        <v>20</v>
      </c>
      <c r="D4" s="85">
        <v>20</v>
      </c>
      <c r="E4" s="86">
        <v>10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</row>
    <row r="5" spans="1:47" ht="18">
      <c r="A5" s="40" t="str">
        <f>'Identité membres'!A5 &amp; " " &amp; 'Identité membres'!B5</f>
        <v>Patrick NYAT</v>
      </c>
      <c r="B5" s="12">
        <v>10</v>
      </c>
      <c r="C5" s="45">
        <v>20</v>
      </c>
      <c r="D5" s="85"/>
      <c r="E5" s="86">
        <v>10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</row>
    <row r="6" spans="1:47" ht="18">
      <c r="A6" s="40" t="str">
        <f>'Identité membres'!A6 &amp; " " &amp; 'Identité membres'!B6</f>
        <v>Marc KOUOH</v>
      </c>
      <c r="B6" s="12">
        <v>10</v>
      </c>
      <c r="C6" s="45">
        <v>20</v>
      </c>
      <c r="D6" s="85">
        <v>20</v>
      </c>
      <c r="E6" s="86">
        <v>10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</row>
    <row r="7" spans="1:47" ht="18">
      <c r="A7" s="40" t="str">
        <f>'Identité membres'!A7 &amp; " " &amp; 'Identité membres'!B7</f>
        <v>Collence DONFACK</v>
      </c>
      <c r="B7" s="12"/>
      <c r="C7" s="44"/>
      <c r="D7" s="85">
        <v>20</v>
      </c>
      <c r="E7" s="86">
        <v>10</v>
      </c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</row>
    <row r="8" spans="1:47" ht="18">
      <c r="A8" s="40" t="str">
        <f>'Identité membres'!A8 &amp; " " &amp; 'Identité membres'!B8</f>
        <v>Yannick TCHAPE</v>
      </c>
      <c r="B8" s="12">
        <v>10</v>
      </c>
      <c r="C8" s="44"/>
      <c r="D8" s="85">
        <v>20</v>
      </c>
      <c r="E8" s="86">
        <v>10</v>
      </c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</row>
    <row r="9" spans="1:47" ht="15.75">
      <c r="A9" s="40" t="str">
        <f>'Identité membres'!A9 &amp; " " &amp; 'Identité membres'!B9</f>
        <v xml:space="preserve"> Ledoux</v>
      </c>
      <c r="B9" s="12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</row>
    <row r="10" spans="1:47" ht="18">
      <c r="A10" s="40" t="str">
        <f>'Identité membres'!A10 &amp; " " &amp; 'Identité membres'!B10</f>
        <v>Williams TAKALA</v>
      </c>
      <c r="B10" s="12"/>
      <c r="C10" s="44"/>
      <c r="D10" s="85">
        <v>20</v>
      </c>
      <c r="E10" s="86">
        <v>10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</row>
    <row r="11" spans="1:47" ht="18">
      <c r="A11" s="40" t="str">
        <f>'Identité membres'!A11 &amp; " " &amp; 'Identité membres'!B11</f>
        <v>Fabrice TSAKOU</v>
      </c>
      <c r="B11" s="12"/>
      <c r="C11" s="44"/>
      <c r="D11" s="85">
        <v>20</v>
      </c>
      <c r="E11" s="86">
        <v>10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</row>
    <row r="12" spans="1:47" ht="15.75">
      <c r="A12" s="40" t="str">
        <f>'Identité membres'!A12 &amp; " " &amp; 'Identité membres'!B12</f>
        <v>Ismael DJOUKOUE</v>
      </c>
      <c r="B12" s="12">
        <v>10</v>
      </c>
      <c r="C12" s="45">
        <v>20</v>
      </c>
      <c r="D12" s="85">
        <v>20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</row>
    <row r="13" spans="1:47" ht="15.75">
      <c r="A13" s="40" t="str">
        <f>'Identité membres'!A13 &amp; " " &amp; 'Identité membres'!B13</f>
        <v>Eric BOGNE</v>
      </c>
      <c r="B13" s="12">
        <v>10</v>
      </c>
      <c r="C13" s="45">
        <v>20</v>
      </c>
      <c r="D13" s="85">
        <v>20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</row>
    <row r="14" spans="1:47" ht="15.75">
      <c r="A14" s="40" t="str">
        <f>'Identité membres'!A14 &amp; " " &amp; 'Identité membres'!B14</f>
        <v>Christian LEUKAM</v>
      </c>
      <c r="B14" s="39"/>
      <c r="C14" s="44"/>
      <c r="D14" s="85">
        <v>20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</row>
    <row r="15" spans="1:47" ht="18">
      <c r="A15" s="40" t="str">
        <f>'Identité membres'!A15 &amp; " " &amp; 'Identité membres'!B15</f>
        <v>Kevin BOUANI</v>
      </c>
      <c r="B15" s="39"/>
      <c r="C15" s="44"/>
      <c r="D15" s="85">
        <v>20</v>
      </c>
      <c r="E15" s="86">
        <v>10</v>
      </c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</row>
    <row r="16" spans="1:47" ht="18">
      <c r="A16" s="40" t="str">
        <f>'Identité membres'!A16 &amp; " " &amp; 'Identité membres'!B16</f>
        <v>Boris DJEMI</v>
      </c>
      <c r="B16" s="39"/>
      <c r="C16" s="44"/>
      <c r="D16" s="85">
        <v>20</v>
      </c>
      <c r="E16" s="86">
        <v>10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</row>
    <row r="17" spans="1:47" ht="18">
      <c r="A17" s="40" t="str">
        <f>'Identité membres'!A17 &amp; " " &amp; 'Identité membres'!B17</f>
        <v>Thierry AMBASSA</v>
      </c>
      <c r="B17" s="39"/>
      <c r="C17" s="44"/>
      <c r="D17" s="85">
        <v>20</v>
      </c>
      <c r="E17" s="86">
        <v>10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</row>
    <row r="18" spans="1:47" ht="15.75">
      <c r="A18" s="40" t="str">
        <f>'Identité membres'!A18 &amp; " " &amp; 'Identité membres'!B18</f>
        <v>Arnaud KOUDJOU</v>
      </c>
      <c r="B18" s="39"/>
      <c r="C18" s="44"/>
      <c r="D18" s="85">
        <v>20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</row>
    <row r="19" spans="1:47" ht="18">
      <c r="A19" s="40" t="str">
        <f>'Identité membres'!A19 &amp; " " &amp; 'Identité membres'!B19</f>
        <v>Christian NANYIM</v>
      </c>
      <c r="B19" s="39"/>
      <c r="C19" s="44"/>
      <c r="D19" s="44"/>
      <c r="E19" s="86">
        <v>10</v>
      </c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</row>
    <row r="20" spans="1:47" ht="15.75">
      <c r="A20" s="40" t="str">
        <f>'Identité membres'!A20 &amp; " " &amp; 'Identité membres'!B20</f>
        <v>Ulrich POKA</v>
      </c>
      <c r="B20" s="39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</row>
    <row r="21" spans="1:47" ht="18">
      <c r="A21" s="40" t="str">
        <f>'Identité membres'!A21 &amp; " " &amp; 'Identité membres'!B21</f>
        <v>Thierry  GWETA</v>
      </c>
      <c r="B21" s="39"/>
      <c r="C21" s="45"/>
      <c r="D21" s="85">
        <v>15</v>
      </c>
      <c r="E21" s="86">
        <v>10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</row>
    <row r="22" spans="1:47" ht="15.75">
      <c r="A22" s="40" t="str">
        <f>'Identité membres'!A22 &amp; " " &amp; 'Identité membres'!B22</f>
        <v>André BILONG</v>
      </c>
      <c r="B22" s="12">
        <v>10</v>
      </c>
      <c r="C22" s="45">
        <v>20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</row>
    <row r="23" spans="1:47" ht="18">
      <c r="A23" s="40" t="str">
        <f>'Identité membres'!A23 &amp; " " &amp; 'Identité membres'!B23</f>
        <v xml:space="preserve"> Amza</v>
      </c>
      <c r="B23" s="12">
        <v>10</v>
      </c>
      <c r="C23" s="45"/>
      <c r="D23" s="85">
        <v>20</v>
      </c>
      <c r="E23" s="86">
        <v>10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</row>
    <row r="24" spans="1:47" ht="15.75">
      <c r="A24" s="40" t="str">
        <f>'Identité membres'!A24 &amp; " " &amp; 'Identité membres'!B24</f>
        <v>Alex  KENNE</v>
      </c>
      <c r="B24" s="39"/>
      <c r="C24" s="45"/>
      <c r="D24" s="85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</row>
    <row r="25" spans="1:47" ht="15.75">
      <c r="A25" s="40" t="str">
        <f>'Identité membres'!A25 &amp; " " &amp; 'Identité membres'!B25</f>
        <v>Eric NKOMO</v>
      </c>
      <c r="B25" s="39"/>
      <c r="C25" s="45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</row>
    <row r="26" spans="1:47" ht="15.75">
      <c r="A26" s="40" t="str">
        <f>'Identité membres'!A26 &amp; " " &amp; 'Identité membres'!B26</f>
        <v>Oscar TEMATIO</v>
      </c>
      <c r="B26" s="39"/>
      <c r="C26" s="45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</row>
    <row r="27" spans="1:47" ht="18">
      <c r="A27" s="40" t="str">
        <f>'Identité membres'!A27 &amp; " " &amp; 'Identité membres'!B27</f>
        <v>Benoit BAHEL</v>
      </c>
      <c r="B27" s="12">
        <v>10</v>
      </c>
      <c r="C27" s="45"/>
      <c r="D27" s="85">
        <v>20</v>
      </c>
      <c r="E27" s="86">
        <v>10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</row>
    <row r="28" spans="1:47" ht="15.75">
      <c r="A28" s="40" t="str">
        <f>'Identité membres'!A28 &amp; " " &amp; 'Identité membres'!B28</f>
        <v xml:space="preserve"> Marcelo</v>
      </c>
      <c r="B28" s="39"/>
      <c r="C28" s="45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</row>
    <row r="29" spans="1:47" ht="15.75">
      <c r="A29" s="40" t="str">
        <f>'Identité membres'!A29 &amp; " " &amp; 'Identité membres'!B29</f>
        <v xml:space="preserve"> Mbappé</v>
      </c>
      <c r="B29" s="39"/>
      <c r="C29" s="45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</row>
    <row r="30" spans="1:47" ht="15.75">
      <c r="A30" s="40" t="str">
        <f>'Identité membres'!A30 &amp; " " &amp; 'Identité membres'!B30</f>
        <v>Alex DJIOMENE</v>
      </c>
      <c r="B30" s="39"/>
      <c r="C30" s="45"/>
      <c r="D30" s="85">
        <v>20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</row>
    <row r="31" spans="1:47" ht="15.75">
      <c r="A31" s="40" t="str">
        <f>'Identité membres'!A31 &amp; " " &amp; 'Identité membres'!B31</f>
        <v xml:space="preserve"> Habré</v>
      </c>
      <c r="B31" s="39"/>
      <c r="C31" s="45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</row>
    <row r="32" spans="1:47" ht="18">
      <c r="A32" s="40" t="str">
        <f>'Identité membres'!A32 &amp; " " &amp; 'Identité membres'!B32</f>
        <v>Patrick NKODO</v>
      </c>
      <c r="B32" s="39"/>
      <c r="C32" s="45"/>
      <c r="D32" s="85">
        <v>20</v>
      </c>
      <c r="E32" s="86">
        <v>10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</row>
    <row r="33" spans="1:47" ht="15.75">
      <c r="A33" s="40" t="str">
        <f>'Identité membres'!A33 &amp; " " &amp; 'Identité membres'!B33</f>
        <v>Stéphane TATSINKOU</v>
      </c>
      <c r="B33" s="12">
        <v>10</v>
      </c>
      <c r="C33" s="45"/>
      <c r="D33" s="85">
        <v>20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</row>
    <row r="34" spans="1:47" ht="18">
      <c r="A34" s="40" t="str">
        <f>'Identité membres'!A34 &amp; " " &amp; 'Identité membres'!B34</f>
        <v>Gabriel TSIDIE</v>
      </c>
      <c r="B34" s="39"/>
      <c r="C34" s="45"/>
      <c r="D34" s="44"/>
      <c r="E34" s="86">
        <v>10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</row>
    <row r="35" spans="1:47" ht="18">
      <c r="A35" s="40" t="str">
        <f>'Identité membres'!A35 &amp; " " &amp; 'Identité membres'!B35</f>
        <v xml:space="preserve"> Christophe</v>
      </c>
      <c r="B35" s="39"/>
      <c r="C35" s="45"/>
      <c r="D35" s="44"/>
      <c r="E35" s="86">
        <v>10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</row>
    <row r="36" spans="1:47" ht="18">
      <c r="A36" s="40" t="str">
        <f>'Identité membres'!A36 &amp; " " &amp; 'Identité membres'!B36</f>
        <v>Mohamed SOUMAH</v>
      </c>
      <c r="B36" s="39"/>
      <c r="C36" s="45"/>
      <c r="D36" s="44"/>
      <c r="E36" s="86">
        <v>10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</row>
    <row r="37" spans="1:47" ht="15.75">
      <c r="A37" s="40" t="str">
        <f>'Identité membres'!A37 &amp; " " &amp; 'Identité membres'!B37</f>
        <v xml:space="preserve"> Pounds</v>
      </c>
      <c r="B37" s="39"/>
      <c r="C37" s="45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</row>
    <row r="38" spans="1:47" ht="15.75">
      <c r="A38" s="40" t="str">
        <f>'Identité membres'!A38 &amp; " " &amp; 'Identité membres'!B38</f>
        <v>Esaie SICHELA</v>
      </c>
      <c r="B38" s="39"/>
      <c r="C38" s="45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</row>
    <row r="39" spans="1:47" ht="15.75">
      <c r="A39" s="40" t="str">
        <f>'Identité membres'!A39 &amp; " " &amp; 'Identité membres'!B39</f>
        <v xml:space="preserve"> David Eboutou</v>
      </c>
      <c r="B39" s="12">
        <v>10</v>
      </c>
      <c r="C39" s="45"/>
      <c r="D39" s="85">
        <v>20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</row>
    <row r="40" spans="1:47" ht="15.75">
      <c r="A40" s="40" t="str">
        <f>'Identité membres'!A40 &amp; " " &amp; 'Identité membres'!B40</f>
        <v xml:space="preserve"> Lionel T</v>
      </c>
      <c r="B40" s="39"/>
      <c r="C40" s="45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</row>
    <row r="41" spans="1:47" ht="15.75">
      <c r="A41" s="40" t="str">
        <f>'Identité membres'!A41 &amp; " " &amp; 'Identité membres'!B41</f>
        <v xml:space="preserve"> Joseph Steve</v>
      </c>
      <c r="B41" s="39"/>
      <c r="C41" s="45"/>
      <c r="D41" s="85">
        <v>20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</row>
    <row r="42" spans="1:47" ht="15.75">
      <c r="A42" s="40" t="str">
        <f>'Identité membres'!A42 &amp; " " &amp; 'Identité membres'!B42</f>
        <v>Franck KOUATE</v>
      </c>
      <c r="B42" s="12">
        <v>10</v>
      </c>
      <c r="C42" s="45"/>
      <c r="D42" s="85">
        <v>20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</row>
    <row r="43" spans="1:47" ht="15.75">
      <c r="A43" s="40" t="str">
        <f>'Identité membres'!A43 &amp; " " &amp; 'Identité membres'!B43</f>
        <v>Claude MBEGA</v>
      </c>
      <c r="B43" s="39"/>
      <c r="C43" s="45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</row>
    <row r="44" spans="1:47" ht="15.75">
      <c r="A44" s="40" t="str">
        <f>'Identité membres'!A44 &amp; " " &amp; 'Identité membres'!B44</f>
        <v>Ghislain WANDJI</v>
      </c>
      <c r="B44" s="39"/>
      <c r="C44" s="45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</row>
    <row r="45" spans="1:47" ht="15.75">
      <c r="A45" s="40" t="str">
        <f>'Identité membres'!A45 &amp; " " &amp; 'Identité membres'!B45</f>
        <v xml:space="preserve"> Christian Dana</v>
      </c>
      <c r="B45" s="12">
        <v>10</v>
      </c>
      <c r="C45" s="45">
        <v>30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</row>
    <row r="46" spans="1:47" ht="15.75">
      <c r="A46" s="40" t="str">
        <f>'Identité membres'!A46 &amp; " " &amp; 'Identité membres'!B46</f>
        <v xml:space="preserve"> Joel Hans</v>
      </c>
      <c r="B46" s="39"/>
      <c r="C46" s="45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</row>
    <row r="47" spans="1:47" ht="15.75">
      <c r="A47" s="40" t="str">
        <f>'Identité membres'!A47 &amp; " " &amp; 'Identité membres'!B47</f>
        <v xml:space="preserve"> Patrick T</v>
      </c>
      <c r="B47" s="39"/>
      <c r="C47" s="45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</row>
    <row r="48" spans="1:47" ht="15.75">
      <c r="A48" s="40" t="str">
        <f>'Identité membres'!A48 &amp; " " &amp; 'Identité membres'!B48</f>
        <v xml:space="preserve"> Detcho</v>
      </c>
      <c r="B48" s="39"/>
      <c r="C48" s="45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</row>
    <row r="49" spans="1:47" ht="15.75">
      <c r="A49" s="40" t="str">
        <f>'Identité membres'!A49 &amp; " " &amp; 'Identité membres'!B49</f>
        <v xml:space="preserve"> Dominique Thionville</v>
      </c>
      <c r="B49" s="39"/>
      <c r="C49" s="45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</row>
    <row r="50" spans="1:47" ht="15.75">
      <c r="A50" s="40" t="str">
        <f>'Identité membres'!A50 &amp; " " &amp; 'Identité membres'!B50</f>
        <v xml:space="preserve"> Philémon K</v>
      </c>
      <c r="B50" s="39"/>
      <c r="C50" s="45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</row>
    <row r="51" spans="1:47" ht="15.75">
      <c r="A51" s="40" t="str">
        <f>'Identité membres'!A51 &amp; " " &amp; 'Identité membres'!B51</f>
        <v xml:space="preserve"> Stéphane D</v>
      </c>
      <c r="B51" s="39"/>
      <c r="C51" s="45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</row>
    <row r="52" spans="1:47" ht="15.75">
      <c r="A52" s="40" t="str">
        <f>'Identité membres'!A52 &amp; " " &amp; 'Identité membres'!B52</f>
        <v>Jean KEGNE</v>
      </c>
      <c r="B52" s="12">
        <v>10</v>
      </c>
      <c r="C52" s="45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</row>
    <row r="53" spans="1:47" ht="15.75">
      <c r="A53" s="40" t="str">
        <f>'Identité membres'!A53 &amp; " " &amp; 'Identité membres'!B53</f>
        <v xml:space="preserve"> Big Hervé</v>
      </c>
      <c r="B53" s="12"/>
      <c r="C53" s="45"/>
      <c r="D53" s="85">
        <v>20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</row>
    <row r="54" spans="1:47" ht="15.75">
      <c r="A54" s="40" t="s">
        <v>88</v>
      </c>
      <c r="B54" s="12">
        <v>10</v>
      </c>
      <c r="C54" s="45">
        <v>30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</row>
    <row r="55" spans="1:47" ht="15.75">
      <c r="A55" s="40" t="s">
        <v>99</v>
      </c>
      <c r="B55" s="12">
        <v>10</v>
      </c>
      <c r="C55" s="45"/>
      <c r="D55" s="86">
        <v>10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</row>
    <row r="56" spans="1:47" ht="18">
      <c r="A56" s="40" t="s">
        <v>100</v>
      </c>
      <c r="B56" s="12">
        <v>10</v>
      </c>
      <c r="C56" s="45">
        <v>20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</row>
    <row r="57" spans="1:47" ht="18">
      <c r="A57" s="38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</row>
    <row r="58" spans="1:47" ht="18">
      <c r="A58" s="68" t="s">
        <v>73</v>
      </c>
      <c r="B58" s="46">
        <f>SUM(B2:B56)</f>
        <v>180</v>
      </c>
      <c r="C58" s="46">
        <f>SUM(C2:C56)</f>
        <v>220</v>
      </c>
      <c r="D58" s="46">
        <f>SUM(D2:D56)</f>
        <v>505</v>
      </c>
      <c r="E58" s="90">
        <f>SUM(E2:E56)</f>
        <v>200</v>
      </c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</row>
    <row r="59" spans="1:47" ht="18">
      <c r="A59" s="38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</row>
    <row r="60" spans="1:47" ht="18">
      <c r="A60" s="41" t="s">
        <v>101</v>
      </c>
      <c r="B60" s="46">
        <f>SUM(B58:AM58)</f>
        <v>1105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</row>
    <row r="61" spans="1:47" ht="18">
      <c r="A61" s="38"/>
      <c r="B61" s="3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</row>
    <row r="62" spans="1:47" ht="18">
      <c r="A62" s="38"/>
      <c r="C62" s="69"/>
    </row>
    <row r="63" spans="1:47" ht="18">
      <c r="A63" s="71" t="s">
        <v>6</v>
      </c>
    </row>
    <row r="64" spans="1:47" ht="18">
      <c r="A64" s="68" t="s">
        <v>102</v>
      </c>
      <c r="B64" s="76">
        <v>143.34</v>
      </c>
    </row>
    <row r="65" spans="1:2" ht="18">
      <c r="A65" s="68" t="s">
        <v>103</v>
      </c>
      <c r="B65" s="76">
        <v>143.34</v>
      </c>
    </row>
    <row r="66" spans="1:2" ht="18">
      <c r="A66" s="68" t="s">
        <v>104</v>
      </c>
      <c r="B66" s="80">
        <v>40</v>
      </c>
    </row>
    <row r="67" spans="1:2" ht="18">
      <c r="A67" s="68" t="s">
        <v>105</v>
      </c>
      <c r="B67" s="76">
        <v>143.36000000000001</v>
      </c>
    </row>
    <row r="68" spans="1:2" ht="18">
      <c r="A68" s="68" t="s">
        <v>106</v>
      </c>
      <c r="B68" s="76">
        <v>463.86</v>
      </c>
    </row>
    <row r="69" spans="1:2" ht="18">
      <c r="A69" s="68" t="s">
        <v>107</v>
      </c>
      <c r="B69" s="80">
        <v>58.19</v>
      </c>
    </row>
    <row r="70" spans="1:2" ht="18">
      <c r="A70" s="68" t="s">
        <v>108</v>
      </c>
      <c r="B70" s="80">
        <v>277.95</v>
      </c>
    </row>
    <row r="71" spans="1:2" ht="18">
      <c r="A71" s="68"/>
    </row>
    <row r="72" spans="1:2" ht="18">
      <c r="A72" s="70" t="s">
        <v>109</v>
      </c>
      <c r="B72" s="76">
        <f>SUM(B64:B70)</f>
        <v>1270.0400000000002</v>
      </c>
    </row>
    <row r="74" spans="1:2" ht="18">
      <c r="A74" s="70" t="s">
        <v>110</v>
      </c>
      <c r="B74" s="80">
        <f>B60-B72</f>
        <v>-165.04000000000019</v>
      </c>
    </row>
    <row r="75" spans="1:2">
      <c r="B75" s="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446B-171C-4471-B784-CF5593FBD989}">
  <dimension ref="A1:AH54"/>
  <sheetViews>
    <sheetView workbookViewId="0">
      <selection activeCell="AC21" sqref="AC21"/>
    </sheetView>
  </sheetViews>
  <sheetFormatPr defaultColWidth="9.140625" defaultRowHeight="15.75"/>
  <cols>
    <col min="1" max="1" width="23.140625" style="40" customWidth="1"/>
    <col min="2" max="2" width="9" style="40" customWidth="1"/>
    <col min="3" max="7" width="9.140625" style="40"/>
    <col min="8" max="8" width="10.7109375" style="40" bestFit="1" customWidth="1"/>
    <col min="9" max="16384" width="9.140625" style="40"/>
  </cols>
  <sheetData>
    <row r="1" spans="1:34">
      <c r="A1" s="35" t="s">
        <v>82</v>
      </c>
      <c r="B1" s="114">
        <f>DATE(2024,2,18)</f>
        <v>45340</v>
      </c>
      <c r="C1" s="114"/>
      <c r="D1" s="114"/>
      <c r="E1" s="115">
        <f>DATE(2024,2,25)</f>
        <v>45347</v>
      </c>
      <c r="F1" s="115"/>
      <c r="G1" s="115"/>
      <c r="H1" s="114">
        <f>DATE(2024,3,3)</f>
        <v>45354</v>
      </c>
      <c r="I1" s="114"/>
      <c r="J1" s="114"/>
      <c r="K1" s="116">
        <f>DATE(2024,10,3)</f>
        <v>45568</v>
      </c>
      <c r="L1" s="116"/>
      <c r="M1" s="116"/>
      <c r="N1" s="117" t="s">
        <v>111</v>
      </c>
      <c r="O1" s="117"/>
      <c r="P1" s="117"/>
      <c r="Q1" s="116" t="s">
        <v>112</v>
      </c>
      <c r="R1" s="116"/>
      <c r="S1" s="116"/>
      <c r="T1" s="117" t="s">
        <v>113</v>
      </c>
      <c r="U1" s="117"/>
      <c r="V1" s="117"/>
      <c r="W1" s="116">
        <v>45477</v>
      </c>
      <c r="X1" s="116"/>
      <c r="Y1" s="116"/>
      <c r="Z1" s="117" t="s">
        <v>114</v>
      </c>
      <c r="AA1" s="117"/>
      <c r="AB1" s="117"/>
      <c r="AC1" s="116" t="s">
        <v>115</v>
      </c>
      <c r="AD1" s="116"/>
      <c r="AE1" s="116"/>
      <c r="AF1" s="117" t="s">
        <v>116</v>
      </c>
      <c r="AG1" s="117"/>
      <c r="AH1" s="117"/>
    </row>
    <row r="2" spans="1:34">
      <c r="A2" s="63"/>
      <c r="B2" s="60" t="s">
        <v>117</v>
      </c>
      <c r="C2" s="61" t="s">
        <v>118</v>
      </c>
      <c r="D2" s="64" t="s">
        <v>119</v>
      </c>
      <c r="E2" s="60" t="s">
        <v>117</v>
      </c>
      <c r="F2" s="61" t="s">
        <v>118</v>
      </c>
      <c r="G2" s="64" t="s">
        <v>119</v>
      </c>
      <c r="H2" s="60" t="s">
        <v>117</v>
      </c>
      <c r="I2" s="61" t="s">
        <v>118</v>
      </c>
      <c r="J2" s="64" t="s">
        <v>119</v>
      </c>
      <c r="K2" s="60" t="s">
        <v>117</v>
      </c>
      <c r="L2" s="61" t="s">
        <v>118</v>
      </c>
      <c r="M2" s="64" t="s">
        <v>119</v>
      </c>
      <c r="N2" s="60" t="s">
        <v>117</v>
      </c>
      <c r="O2" s="61" t="s">
        <v>118</v>
      </c>
      <c r="P2" s="64" t="s">
        <v>119</v>
      </c>
      <c r="Q2" s="60" t="s">
        <v>117</v>
      </c>
      <c r="R2" s="61" t="s">
        <v>118</v>
      </c>
      <c r="S2" s="64" t="s">
        <v>119</v>
      </c>
      <c r="T2" s="60" t="s">
        <v>117</v>
      </c>
      <c r="U2" s="61" t="s">
        <v>118</v>
      </c>
      <c r="V2" s="64" t="s">
        <v>119</v>
      </c>
      <c r="W2" s="60" t="s">
        <v>117</v>
      </c>
      <c r="X2" s="61" t="s">
        <v>118</v>
      </c>
      <c r="Y2" s="64" t="s">
        <v>119</v>
      </c>
      <c r="Z2" s="60" t="s">
        <v>117</v>
      </c>
      <c r="AA2" s="61" t="s">
        <v>118</v>
      </c>
      <c r="AB2" s="64" t="s">
        <v>119</v>
      </c>
      <c r="AC2" s="60" t="s">
        <v>117</v>
      </c>
      <c r="AD2" s="61" t="s">
        <v>118</v>
      </c>
      <c r="AE2" s="62" t="s">
        <v>119</v>
      </c>
      <c r="AF2" s="60" t="s">
        <v>117</v>
      </c>
      <c r="AG2" s="61" t="s">
        <v>118</v>
      </c>
      <c r="AH2" s="62" t="s">
        <v>119</v>
      </c>
    </row>
    <row r="3" spans="1:34">
      <c r="A3" s="40" t="str">
        <f>'Identité membres'!A2 &amp; " " &amp; 'Identité membres'!B2</f>
        <v>Patrick NJIWOUA</v>
      </c>
      <c r="C3" s="40">
        <v>1</v>
      </c>
    </row>
    <row r="4" spans="1:34">
      <c r="A4" s="40" t="str">
        <f>'Identité membres'!A3 &amp; " " &amp; 'Identité membres'!B3</f>
        <v>Celestin ELOCK SON</v>
      </c>
      <c r="H4" s="73"/>
    </row>
    <row r="5" spans="1:34">
      <c r="A5" s="40" t="str">
        <f>'Identité membres'!A4 &amp; " " &amp; 'Identité membres'!B4</f>
        <v>Steve KAMCHE</v>
      </c>
    </row>
    <row r="6" spans="1:34">
      <c r="A6" s="40" t="str">
        <f>'Identité membres'!A5 &amp; " " &amp; 'Identité membres'!B5</f>
        <v>Patrick NYAT</v>
      </c>
    </row>
    <row r="7" spans="1:34">
      <c r="A7" s="40" t="str">
        <f>'Identité membres'!A6 &amp; " " &amp; 'Identité membres'!B6</f>
        <v>Marc KOUOH</v>
      </c>
    </row>
    <row r="8" spans="1:34">
      <c r="A8" s="40" t="str">
        <f>'Identité membres'!A7 &amp; " " &amp; 'Identité membres'!B7</f>
        <v>Collence DONFACK</v>
      </c>
    </row>
    <row r="9" spans="1:34">
      <c r="A9" s="40" t="str">
        <f>'Identité membres'!A8 &amp; " " &amp; 'Identité membres'!B8</f>
        <v>Yannick TCHAPE</v>
      </c>
    </row>
    <row r="10" spans="1:34">
      <c r="A10" s="40" t="str">
        <f>'Identité membres'!A9 &amp; " " &amp; 'Identité membres'!B9</f>
        <v xml:space="preserve"> Ledoux</v>
      </c>
    </row>
    <row r="11" spans="1:34">
      <c r="A11" s="40" t="str">
        <f>'Identité membres'!A10 &amp; " " &amp; 'Identité membres'!B10</f>
        <v>Williams TAKALA</v>
      </c>
    </row>
    <row r="12" spans="1:34">
      <c r="A12" s="40" t="str">
        <f>'Identité membres'!A11 &amp; " " &amp; 'Identité membres'!B11</f>
        <v>Fabrice TSAKOU</v>
      </c>
    </row>
    <row r="13" spans="1:34">
      <c r="A13" s="40" t="str">
        <f>'Identité membres'!A12 &amp; " " &amp; 'Identité membres'!B12</f>
        <v>Ismael DJOUKOUE</v>
      </c>
    </row>
    <row r="14" spans="1:34">
      <c r="A14" s="40" t="str">
        <f>'Identité membres'!A13 &amp; " " &amp; 'Identité membres'!B13</f>
        <v>Eric BOGNE</v>
      </c>
      <c r="E14" s="40">
        <v>1</v>
      </c>
    </row>
    <row r="15" spans="1:34">
      <c r="A15" s="40" t="str">
        <f>'Identité membres'!A14 &amp; " " &amp; 'Identité membres'!B14</f>
        <v>Christian LEUKAM</v>
      </c>
      <c r="F15" s="40">
        <v>1</v>
      </c>
    </row>
    <row r="16" spans="1:34">
      <c r="A16" s="40" t="str">
        <f>'Identité membres'!A15 &amp; " " &amp; 'Identité membres'!B15</f>
        <v>Kevin BOUANI</v>
      </c>
      <c r="Q16" s="40">
        <v>1</v>
      </c>
    </row>
    <row r="17" spans="1:29">
      <c r="A17" s="40" t="str">
        <f>'Identité membres'!A16 &amp; " " &amp; 'Identité membres'!B16</f>
        <v>Boris DJEMI</v>
      </c>
      <c r="O17" s="40">
        <v>1</v>
      </c>
    </row>
    <row r="18" spans="1:29">
      <c r="A18" s="40" t="str">
        <f>'Identité membres'!A17 &amp; " " &amp; 'Identité membres'!B17</f>
        <v>Thierry AMBASSA</v>
      </c>
    </row>
    <row r="19" spans="1:29">
      <c r="A19" s="40" t="str">
        <f>'Identité membres'!A18 &amp; " " &amp; 'Identité membres'!B18</f>
        <v>Arnaud KOUDJOU</v>
      </c>
    </row>
    <row r="20" spans="1:29">
      <c r="A20" s="40" t="str">
        <f>'Identité membres'!A19 &amp; " " &amp; 'Identité membres'!B19</f>
        <v>Christian NANYIM</v>
      </c>
      <c r="R20" s="40">
        <v>1</v>
      </c>
    </row>
    <row r="21" spans="1:29">
      <c r="A21" s="40" t="str">
        <f>'Identité membres'!A20 &amp; " " &amp; 'Identité membres'!B20</f>
        <v>Ulrich POKA</v>
      </c>
      <c r="AC21" s="40">
        <v>1</v>
      </c>
    </row>
    <row r="22" spans="1:29">
      <c r="A22" s="40" t="str">
        <f>'Identité membres'!A21 &amp; " " &amp; 'Identité membres'!B21</f>
        <v>Thierry  GWETA</v>
      </c>
    </row>
    <row r="23" spans="1:29">
      <c r="A23" s="40" t="str">
        <f>'Identité membres'!A22 &amp; " " &amp; 'Identité membres'!B22</f>
        <v>André BILONG</v>
      </c>
    </row>
    <row r="24" spans="1:29">
      <c r="A24" s="40" t="str">
        <f>'Identité membres'!A23 &amp; " " &amp; 'Identité membres'!B23</f>
        <v xml:space="preserve"> Amza</v>
      </c>
    </row>
    <row r="25" spans="1:29">
      <c r="A25" s="40" t="str">
        <f>'Identité membres'!A24 &amp; " " &amp; 'Identité membres'!B24</f>
        <v>Alex  KENNE</v>
      </c>
    </row>
    <row r="26" spans="1:29">
      <c r="A26" s="40" t="str">
        <f>'Identité membres'!A25 &amp; " " &amp; 'Identité membres'!B25</f>
        <v>Eric NKOMO</v>
      </c>
    </row>
    <row r="27" spans="1:29">
      <c r="A27" s="40" t="str">
        <f>'Identité membres'!A26 &amp; " " &amp; 'Identité membres'!B26</f>
        <v>Oscar TEMATIO</v>
      </c>
      <c r="B27" s="40">
        <v>1</v>
      </c>
    </row>
    <row r="28" spans="1:29">
      <c r="A28" s="40" t="str">
        <f>'Identité membres'!A27 &amp; " " &amp; 'Identité membres'!B27</f>
        <v>Benoit BAHEL</v>
      </c>
    </row>
    <row r="29" spans="1:29">
      <c r="A29" s="40" t="str">
        <f>'Identité membres'!A28 &amp; " " &amp; 'Identité membres'!B28</f>
        <v xml:space="preserve"> Marcelo</v>
      </c>
    </row>
    <row r="30" spans="1:29">
      <c r="A30" s="40" t="str">
        <f>'Identité membres'!A29 &amp; " " &amp; 'Identité membres'!B29</f>
        <v xml:space="preserve"> Mbappé</v>
      </c>
    </row>
    <row r="31" spans="1:29">
      <c r="A31" s="40" t="str">
        <f>'Identité membres'!A30 &amp; " " &amp; 'Identité membres'!B30</f>
        <v>Alex DJIOMENE</v>
      </c>
    </row>
    <row r="32" spans="1:29">
      <c r="A32" s="40" t="str">
        <f>'Identité membres'!A31 &amp; " " &amp; 'Identité membres'!B31</f>
        <v xml:space="preserve"> Habré</v>
      </c>
    </row>
    <row r="33" spans="1:14">
      <c r="A33" s="40" t="str">
        <f>'Identité membres'!A32 &amp; " " &amp; 'Identité membres'!B32</f>
        <v>Patrick NKODO</v>
      </c>
      <c r="H33" s="40">
        <v>1</v>
      </c>
    </row>
    <row r="34" spans="1:14">
      <c r="A34" s="40" t="str">
        <f>'Identité membres'!A33 &amp; " " &amp; 'Identité membres'!B33</f>
        <v>Stéphane TATSINKOU</v>
      </c>
      <c r="I34" s="40">
        <v>1</v>
      </c>
    </row>
    <row r="35" spans="1:14">
      <c r="A35" s="40" t="str">
        <f>'Identité membres'!A34 &amp; " " &amp; 'Identité membres'!B34</f>
        <v>Gabriel TSIDIE</v>
      </c>
    </row>
    <row r="36" spans="1:14">
      <c r="A36" s="40" t="str">
        <f>'Identité membres'!A35 &amp; " " &amp; 'Identité membres'!B35</f>
        <v xml:space="preserve"> Christophe</v>
      </c>
    </row>
    <row r="37" spans="1:14">
      <c r="A37" s="40" t="str">
        <f>'Identité membres'!A36 &amp; " " &amp; 'Identité membres'!B36</f>
        <v>Mohamed SOUMAH</v>
      </c>
      <c r="N37" s="40">
        <v>1</v>
      </c>
    </row>
    <row r="38" spans="1:14">
      <c r="A38" s="40" t="str">
        <f>'Identité membres'!A37 &amp; " " &amp; 'Identité membres'!B37</f>
        <v xml:space="preserve"> Pounds</v>
      </c>
    </row>
    <row r="39" spans="1:14">
      <c r="A39" s="40" t="str">
        <f>'Identité membres'!A38 &amp; " " &amp; 'Identité membres'!B38</f>
        <v>Esaie SICHELA</v>
      </c>
    </row>
    <row r="40" spans="1:14">
      <c r="A40" s="40" t="str">
        <f>'Identité membres'!A39 &amp; " " &amp; 'Identité membres'!B39</f>
        <v xml:space="preserve"> David Eboutou</v>
      </c>
    </row>
    <row r="41" spans="1:14">
      <c r="A41" s="40" t="str">
        <f>'Identité membres'!A40 &amp; " " &amp; 'Identité membres'!B40</f>
        <v xml:space="preserve"> Lionel T</v>
      </c>
    </row>
    <row r="42" spans="1:14">
      <c r="A42" s="40" t="str">
        <f>'Identité membres'!A41 &amp; " " &amp; 'Identité membres'!B41</f>
        <v xml:space="preserve"> Joseph Steve</v>
      </c>
    </row>
    <row r="43" spans="1:14">
      <c r="A43" s="40" t="str">
        <f>'Identité membres'!A42 &amp; " " &amp; 'Identité membres'!B42</f>
        <v>Franck KOUATE</v>
      </c>
    </row>
    <row r="44" spans="1:14">
      <c r="A44" s="40" t="str">
        <f>'Identité membres'!A43 &amp; " " &amp; 'Identité membres'!B43</f>
        <v>Claude MBEGA</v>
      </c>
    </row>
    <row r="45" spans="1:14">
      <c r="A45" s="40" t="str">
        <f>'Identité membres'!A44 &amp; " " &amp; 'Identité membres'!B44</f>
        <v>Ghislain WANDJI</v>
      </c>
    </row>
    <row r="46" spans="1:14">
      <c r="A46" s="40" t="str">
        <f>'Identité membres'!A45 &amp; " " &amp; 'Identité membres'!B45</f>
        <v xml:space="preserve"> Christian Dana</v>
      </c>
    </row>
    <row r="47" spans="1:14">
      <c r="A47" s="40" t="str">
        <f>'Identité membres'!A46 &amp; " " &amp; 'Identité membres'!B46</f>
        <v xml:space="preserve"> Joel Hans</v>
      </c>
    </row>
    <row r="48" spans="1:14">
      <c r="A48" s="40" t="str">
        <f>'Identité membres'!A47 &amp; " " &amp; 'Identité membres'!B47</f>
        <v xml:space="preserve"> Patrick T</v>
      </c>
    </row>
    <row r="49" spans="1:1">
      <c r="A49" s="40" t="str">
        <f>'Identité membres'!A48 &amp; " " &amp; 'Identité membres'!B48</f>
        <v xml:space="preserve"> Detcho</v>
      </c>
    </row>
    <row r="50" spans="1:1">
      <c r="A50" s="40" t="str">
        <f>'Identité membres'!A49 &amp; " " &amp; 'Identité membres'!B49</f>
        <v xml:space="preserve"> Dominique Thionville</v>
      </c>
    </row>
    <row r="51" spans="1:1">
      <c r="A51" s="40" t="str">
        <f>'Identité membres'!A50 &amp; " " &amp; 'Identité membres'!B50</f>
        <v xml:space="preserve"> Philémon K</v>
      </c>
    </row>
    <row r="52" spans="1:1">
      <c r="A52" s="40" t="str">
        <f>'Identité membres'!A51 &amp; " " &amp; 'Identité membres'!B51</f>
        <v xml:space="preserve"> Stéphane D</v>
      </c>
    </row>
    <row r="53" spans="1:1">
      <c r="A53" s="40" t="str">
        <f>'Identité membres'!A52 &amp; " " &amp; 'Identité membres'!B52</f>
        <v>Jean KEGNE</v>
      </c>
    </row>
    <row r="54" spans="1:1">
      <c r="A54" s="40" t="str">
        <f>'Identité membres'!A53 &amp; " " &amp; 'Identité membres'!B53</f>
        <v xml:space="preserve"> Big Hervé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FAC4-5168-4348-A38D-642A530664F5}">
  <dimension ref="A1:BG59"/>
  <sheetViews>
    <sheetView topLeftCell="A19" workbookViewId="0">
      <selection activeCell="C29" sqref="C29"/>
    </sheetView>
  </sheetViews>
  <sheetFormatPr defaultColWidth="9" defaultRowHeight="15"/>
  <cols>
    <col min="1" max="1" width="12.28515625" style="52" customWidth="1"/>
    <col min="2" max="2" width="24.7109375" style="52" customWidth="1"/>
    <col min="3" max="3" width="25.7109375" style="52" customWidth="1"/>
    <col min="4" max="4" width="15" style="58" bestFit="1" customWidth="1"/>
    <col min="5" max="5" width="23" style="58" bestFit="1" customWidth="1"/>
    <col min="6" max="16384" width="9" style="52"/>
  </cols>
  <sheetData>
    <row r="1" spans="1:59" s="55" customFormat="1" ht="15.75">
      <c r="A1" s="47" t="s">
        <v>120</v>
      </c>
      <c r="B1" s="47" t="s">
        <v>0</v>
      </c>
      <c r="C1" s="47" t="s">
        <v>121</v>
      </c>
      <c r="D1" s="56" t="s">
        <v>122</v>
      </c>
      <c r="E1" s="56" t="s">
        <v>123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</row>
    <row r="2" spans="1:59" ht="15.75">
      <c r="A2" s="65" t="s">
        <v>124</v>
      </c>
      <c r="B2" s="37" t="s">
        <v>125</v>
      </c>
      <c r="C2" s="37" t="s">
        <v>126</v>
      </c>
      <c r="D2" s="66" t="s">
        <v>127</v>
      </c>
      <c r="E2" s="66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</row>
    <row r="3" spans="1:59" ht="15.75">
      <c r="A3" s="65" t="s">
        <v>128</v>
      </c>
      <c r="B3" s="37" t="s">
        <v>129</v>
      </c>
      <c r="C3" s="37"/>
      <c r="D3" s="66" t="s">
        <v>130</v>
      </c>
      <c r="E3" s="66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</row>
    <row r="4" spans="1:59" ht="15.75">
      <c r="A4" s="65" t="s">
        <v>87</v>
      </c>
      <c r="B4" s="37" t="s">
        <v>131</v>
      </c>
      <c r="C4" s="37" t="s">
        <v>11</v>
      </c>
      <c r="D4" s="66" t="s">
        <v>132</v>
      </c>
      <c r="E4" s="66" t="s">
        <v>133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</row>
    <row r="5" spans="1:59" ht="15.75">
      <c r="A5" s="65" t="s">
        <v>124</v>
      </c>
      <c r="B5" s="37" t="s">
        <v>134</v>
      </c>
      <c r="C5" s="37"/>
      <c r="D5" s="66" t="s">
        <v>130</v>
      </c>
      <c r="E5" s="6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</row>
    <row r="6" spans="1:59" ht="15.75">
      <c r="A6" s="65" t="s">
        <v>135</v>
      </c>
      <c r="B6" s="37" t="s">
        <v>136</v>
      </c>
      <c r="C6" s="37"/>
      <c r="D6" s="66" t="s">
        <v>127</v>
      </c>
      <c r="E6" s="66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</row>
    <row r="7" spans="1:59" ht="15.75">
      <c r="A7" s="37" t="s">
        <v>15</v>
      </c>
      <c r="B7" s="67" t="s">
        <v>137</v>
      </c>
      <c r="C7" s="67"/>
      <c r="D7" s="66" t="s">
        <v>130</v>
      </c>
      <c r="E7" s="66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</row>
    <row r="8" spans="1:59" ht="15.75">
      <c r="A8" s="65" t="s">
        <v>138</v>
      </c>
      <c r="B8" s="37" t="s">
        <v>139</v>
      </c>
      <c r="C8" s="37"/>
      <c r="D8" s="66" t="s">
        <v>130</v>
      </c>
      <c r="E8" s="66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</row>
    <row r="9" spans="1:59" ht="15.75">
      <c r="A9" s="65"/>
      <c r="B9" s="37" t="s">
        <v>71</v>
      </c>
      <c r="C9" s="37"/>
      <c r="D9" s="66" t="s">
        <v>130</v>
      </c>
      <c r="E9" s="66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</row>
    <row r="10" spans="1:59" ht="15.75">
      <c r="A10" s="65" t="s">
        <v>140</v>
      </c>
      <c r="B10" s="37" t="s">
        <v>141</v>
      </c>
      <c r="C10" s="37"/>
      <c r="D10" s="66" t="s">
        <v>130</v>
      </c>
      <c r="E10" s="66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</row>
    <row r="11" spans="1:59" ht="15.75">
      <c r="A11" s="65" t="s">
        <v>24</v>
      </c>
      <c r="B11" s="37" t="s">
        <v>142</v>
      </c>
      <c r="C11" s="37" t="s">
        <v>143</v>
      </c>
      <c r="D11" s="66" t="s">
        <v>144</v>
      </c>
      <c r="E11" s="66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</row>
    <row r="12" spans="1:59" ht="15.75">
      <c r="A12" s="65" t="s">
        <v>26</v>
      </c>
      <c r="B12" s="37" t="s">
        <v>145</v>
      </c>
      <c r="C12" s="37"/>
      <c r="D12" s="66" t="s">
        <v>127</v>
      </c>
      <c r="E12" s="66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</row>
    <row r="13" spans="1:59" ht="15.75">
      <c r="A13" s="65" t="s">
        <v>146</v>
      </c>
      <c r="B13" s="37" t="s">
        <v>147</v>
      </c>
      <c r="C13" s="37"/>
      <c r="D13" s="66" t="s">
        <v>148</v>
      </c>
      <c r="E13" s="66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</row>
    <row r="14" spans="1:59" ht="15.75">
      <c r="A14" s="40" t="s">
        <v>149</v>
      </c>
      <c r="B14" s="37" t="s">
        <v>150</v>
      </c>
      <c r="C14" s="37"/>
      <c r="D14" s="66" t="s">
        <v>130</v>
      </c>
      <c r="E14" s="66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</row>
    <row r="15" spans="1:59" ht="15.75">
      <c r="A15" s="65" t="s">
        <v>31</v>
      </c>
      <c r="B15" s="37" t="s">
        <v>151</v>
      </c>
      <c r="C15" s="37"/>
      <c r="D15" s="66" t="s">
        <v>130</v>
      </c>
      <c r="E15" s="66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</row>
    <row r="16" spans="1:59" ht="15.75">
      <c r="A16" s="37" t="s">
        <v>33</v>
      </c>
      <c r="B16" s="37" t="s">
        <v>152</v>
      </c>
      <c r="C16" s="37" t="s">
        <v>153</v>
      </c>
      <c r="D16" s="66" t="s">
        <v>130</v>
      </c>
      <c r="E16" s="66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</row>
    <row r="17" spans="1:47" ht="15.75">
      <c r="A17" s="65" t="s">
        <v>154</v>
      </c>
      <c r="B17" s="37" t="s">
        <v>155</v>
      </c>
      <c r="C17" s="37"/>
      <c r="D17" s="66" t="s">
        <v>127</v>
      </c>
      <c r="E17" s="66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</row>
    <row r="18" spans="1:47" ht="15.75">
      <c r="A18" s="65" t="s">
        <v>156</v>
      </c>
      <c r="B18" s="37" t="s">
        <v>157</v>
      </c>
      <c r="C18" s="37"/>
      <c r="D18" s="66" t="s">
        <v>127</v>
      </c>
      <c r="E18" s="66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</row>
    <row r="19" spans="1:47" ht="15.75">
      <c r="A19" s="65" t="s">
        <v>149</v>
      </c>
      <c r="B19" s="37" t="s">
        <v>158</v>
      </c>
      <c r="C19" s="37"/>
      <c r="D19" s="66" t="s">
        <v>130</v>
      </c>
      <c r="E19" s="66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</row>
    <row r="20" spans="1:47" ht="15.75">
      <c r="A20" s="65" t="s">
        <v>159</v>
      </c>
      <c r="B20" s="37" t="s">
        <v>160</v>
      </c>
      <c r="C20" s="37"/>
      <c r="D20" s="66" t="s">
        <v>144</v>
      </c>
      <c r="E20" s="66" t="s">
        <v>161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</row>
    <row r="21" spans="1:47" ht="15.75">
      <c r="A21" s="40" t="s">
        <v>154</v>
      </c>
      <c r="B21" s="37" t="s">
        <v>162</v>
      </c>
      <c r="C21" s="37"/>
      <c r="D21" s="66" t="s">
        <v>127</v>
      </c>
      <c r="E21" s="66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</row>
    <row r="22" spans="1:47" ht="15.75">
      <c r="A22" s="65" t="s">
        <v>163</v>
      </c>
      <c r="B22" s="37" t="s">
        <v>164</v>
      </c>
      <c r="C22" s="37" t="s">
        <v>165</v>
      </c>
      <c r="D22" s="66" t="s">
        <v>127</v>
      </c>
      <c r="E22" s="66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</row>
    <row r="23" spans="1:47" ht="15.75">
      <c r="A23" s="65"/>
      <c r="B23" s="37" t="s">
        <v>43</v>
      </c>
      <c r="C23" s="37"/>
      <c r="D23" s="66" t="s">
        <v>130</v>
      </c>
      <c r="E23" s="66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</row>
    <row r="24" spans="1:47" ht="15.75">
      <c r="A24" s="40" t="s">
        <v>166</v>
      </c>
      <c r="B24" s="37" t="s">
        <v>167</v>
      </c>
      <c r="C24" s="37"/>
      <c r="D24" s="66" t="s">
        <v>127</v>
      </c>
      <c r="E24" s="66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</row>
    <row r="25" spans="1:47" ht="15.75">
      <c r="A25" s="65" t="s">
        <v>146</v>
      </c>
      <c r="B25" s="37" t="s">
        <v>168</v>
      </c>
      <c r="C25" s="37" t="s">
        <v>54</v>
      </c>
      <c r="D25" s="66" t="s">
        <v>127</v>
      </c>
      <c r="E25" s="66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</row>
    <row r="26" spans="1:47" ht="15.75">
      <c r="A26" s="65" t="s">
        <v>169</v>
      </c>
      <c r="B26" s="37" t="s">
        <v>170</v>
      </c>
      <c r="C26" s="37" t="s">
        <v>55</v>
      </c>
      <c r="D26" s="66" t="s">
        <v>130</v>
      </c>
      <c r="E26" s="66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</row>
    <row r="27" spans="1:47" ht="15.75">
      <c r="A27" s="37" t="s">
        <v>56</v>
      </c>
      <c r="B27" s="37" t="s">
        <v>171</v>
      </c>
      <c r="C27" s="37"/>
      <c r="D27" s="66" t="s">
        <v>127</v>
      </c>
      <c r="E27" s="66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</row>
    <row r="28" spans="1:47" ht="15.75">
      <c r="A28" s="65"/>
      <c r="B28" s="37" t="s">
        <v>172</v>
      </c>
      <c r="C28" s="37"/>
      <c r="D28" s="66" t="s">
        <v>130</v>
      </c>
      <c r="E28" s="66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</row>
    <row r="29" spans="1:47" ht="15.75">
      <c r="A29" s="65"/>
      <c r="B29" s="37" t="s">
        <v>173</v>
      </c>
      <c r="C29" s="37"/>
      <c r="D29" s="66" t="s">
        <v>130</v>
      </c>
      <c r="E29" s="66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</row>
    <row r="30" spans="1:47" ht="15.75">
      <c r="A30" s="65" t="s">
        <v>166</v>
      </c>
      <c r="B30" s="37" t="s">
        <v>174</v>
      </c>
      <c r="C30" s="37"/>
      <c r="D30" s="66" t="s">
        <v>130</v>
      </c>
      <c r="E30" s="6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</row>
    <row r="31" spans="1:47" ht="15.75">
      <c r="A31" s="65"/>
      <c r="B31" s="37" t="s">
        <v>58</v>
      </c>
      <c r="C31" s="37"/>
      <c r="D31" s="66" t="s">
        <v>130</v>
      </c>
      <c r="E31" s="6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</row>
    <row r="32" spans="1:47" ht="15.75">
      <c r="A32" s="65" t="s">
        <v>124</v>
      </c>
      <c r="B32" s="37" t="s">
        <v>175</v>
      </c>
      <c r="C32" s="37" t="s">
        <v>176</v>
      </c>
      <c r="D32" s="66" t="s">
        <v>130</v>
      </c>
      <c r="E32" s="6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</row>
    <row r="33" spans="1:47" ht="15.75">
      <c r="A33" s="65" t="s">
        <v>177</v>
      </c>
      <c r="B33" s="37" t="s">
        <v>178</v>
      </c>
      <c r="C33" s="37" t="s">
        <v>179</v>
      </c>
      <c r="D33" s="66" t="s">
        <v>180</v>
      </c>
      <c r="E33" s="66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</row>
    <row r="34" spans="1:47" ht="15.75">
      <c r="A34" s="37" t="s">
        <v>181</v>
      </c>
      <c r="B34" s="37" t="s">
        <v>182</v>
      </c>
      <c r="C34" s="37" t="s">
        <v>44</v>
      </c>
      <c r="D34" s="66" t="s">
        <v>130</v>
      </c>
      <c r="E34" s="66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</row>
    <row r="35" spans="1:47" ht="15.75">
      <c r="A35" s="65"/>
      <c r="B35" s="37" t="s">
        <v>70</v>
      </c>
      <c r="C35" s="37"/>
      <c r="D35" s="66" t="s">
        <v>130</v>
      </c>
      <c r="E35" s="66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</row>
    <row r="36" spans="1:47" ht="15.75">
      <c r="A36" s="65" t="s">
        <v>183</v>
      </c>
      <c r="B36" s="37" t="s">
        <v>184</v>
      </c>
      <c r="C36" s="37" t="s">
        <v>185</v>
      </c>
      <c r="D36" s="66" t="s">
        <v>127</v>
      </c>
      <c r="E36" s="66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  <row r="37" spans="1:47" ht="15.75">
      <c r="A37" s="65"/>
      <c r="B37" s="37" t="s">
        <v>47</v>
      </c>
      <c r="C37" s="37"/>
      <c r="D37" s="66" t="s">
        <v>144</v>
      </c>
      <c r="E37" s="66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</row>
    <row r="38" spans="1:47" ht="15.75">
      <c r="A38" s="37" t="s">
        <v>34</v>
      </c>
      <c r="B38" s="37" t="s">
        <v>186</v>
      </c>
      <c r="C38" s="37"/>
      <c r="D38" s="66" t="s">
        <v>127</v>
      </c>
      <c r="E38" s="66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</row>
    <row r="39" spans="1:47" ht="15.75">
      <c r="A39" s="65"/>
      <c r="B39" s="37" t="s">
        <v>57</v>
      </c>
      <c r="C39" s="37"/>
      <c r="D39" s="66" t="s">
        <v>127</v>
      </c>
      <c r="E39" s="66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</row>
    <row r="40" spans="1:47" ht="15.75">
      <c r="A40" s="65"/>
      <c r="B40" s="37" t="s">
        <v>59</v>
      </c>
      <c r="C40" s="37"/>
      <c r="D40" s="66"/>
      <c r="E40" s="66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</row>
    <row r="41" spans="1:47" ht="15.75">
      <c r="A41" s="65"/>
      <c r="B41" s="37" t="s">
        <v>53</v>
      </c>
      <c r="C41" s="37"/>
      <c r="D41" s="66" t="s">
        <v>130</v>
      </c>
      <c r="E41" s="66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</row>
    <row r="42" spans="1:47" ht="15.75">
      <c r="A42" s="65" t="s">
        <v>187</v>
      </c>
      <c r="B42" s="37" t="s">
        <v>188</v>
      </c>
      <c r="C42" s="37"/>
      <c r="D42" s="66" t="s">
        <v>144</v>
      </c>
      <c r="E42" s="66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</row>
    <row r="43" spans="1:47" ht="15.75">
      <c r="A43" s="65" t="s">
        <v>46</v>
      </c>
      <c r="B43" s="37" t="s">
        <v>189</v>
      </c>
      <c r="C43" s="37"/>
      <c r="D43" s="66"/>
      <c r="E43" s="66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</row>
    <row r="44" spans="1:47" ht="15.75">
      <c r="A44" s="65" t="s">
        <v>190</v>
      </c>
      <c r="B44" s="37" t="s">
        <v>191</v>
      </c>
      <c r="C44" s="37"/>
      <c r="D44" s="66"/>
      <c r="E44" s="66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</row>
    <row r="45" spans="1:47" ht="15.75">
      <c r="A45" s="65"/>
      <c r="B45" s="37" t="s">
        <v>60</v>
      </c>
      <c r="C45" s="37"/>
      <c r="D45" s="66" t="s">
        <v>127</v>
      </c>
      <c r="E45" s="66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</row>
    <row r="46" spans="1:47" ht="15.75">
      <c r="A46" s="65"/>
      <c r="B46" s="37" t="s">
        <v>69</v>
      </c>
      <c r="C46" s="37"/>
      <c r="D46" s="66" t="s">
        <v>132</v>
      </c>
      <c r="E46" s="66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</row>
    <row r="47" spans="1:47" ht="15.75">
      <c r="A47" s="65"/>
      <c r="B47" s="37" t="s">
        <v>192</v>
      </c>
      <c r="C47" s="37" t="s">
        <v>193</v>
      </c>
      <c r="D47" s="66"/>
      <c r="E47" s="66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</row>
    <row r="48" spans="1:47" ht="15.75">
      <c r="A48" s="65"/>
      <c r="B48" s="37" t="s">
        <v>66</v>
      </c>
      <c r="C48" s="37"/>
      <c r="D48" s="66"/>
      <c r="E48" s="66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</row>
    <row r="49" spans="1:47" ht="15.75">
      <c r="A49" s="65"/>
      <c r="B49" s="37" t="s">
        <v>62</v>
      </c>
      <c r="C49" s="37"/>
      <c r="D49" s="66" t="s">
        <v>127</v>
      </c>
      <c r="E49" s="66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</row>
    <row r="50" spans="1:47" ht="15.75">
      <c r="A50" s="65"/>
      <c r="B50" s="37" t="s">
        <v>194</v>
      </c>
      <c r="C50" s="37"/>
      <c r="D50" s="66"/>
      <c r="E50" s="66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</row>
    <row r="51" spans="1:47" ht="15.75">
      <c r="A51" s="65"/>
      <c r="B51" s="37" t="s">
        <v>67</v>
      </c>
      <c r="C51" s="37"/>
      <c r="D51" s="66" t="s">
        <v>130</v>
      </c>
      <c r="E51" s="66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</row>
    <row r="52" spans="1:47" ht="15.75">
      <c r="A52" s="65" t="s">
        <v>195</v>
      </c>
      <c r="B52" s="37" t="s">
        <v>196</v>
      </c>
      <c r="C52" s="37" t="s">
        <v>197</v>
      </c>
      <c r="D52" s="66" t="s">
        <v>130</v>
      </c>
      <c r="E52" s="66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</row>
    <row r="53" spans="1:47" ht="15.75">
      <c r="A53" s="65"/>
      <c r="B53" s="37" t="s">
        <v>198</v>
      </c>
      <c r="C53" s="37" t="s">
        <v>199</v>
      </c>
      <c r="D53" s="66" t="s">
        <v>130</v>
      </c>
      <c r="E53" s="66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</row>
    <row r="54" spans="1:47" ht="15.75">
      <c r="A54" s="50"/>
      <c r="B54" s="51"/>
      <c r="C54" s="51"/>
      <c r="D54" s="57"/>
      <c r="E54" s="57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</row>
    <row r="55" spans="1:47" ht="15.75">
      <c r="A55" s="51"/>
      <c r="B55" s="53" t="s">
        <v>73</v>
      </c>
      <c r="C55" s="53"/>
      <c r="D55" s="57"/>
      <c r="E55" s="57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</row>
    <row r="56" spans="1:47" ht="15.75">
      <c r="A56" s="51"/>
      <c r="B56" s="51"/>
      <c r="C56" s="51"/>
      <c r="D56" s="57"/>
      <c r="E56" s="57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</row>
    <row r="57" spans="1:47" ht="15.75">
      <c r="A57" s="51"/>
      <c r="B57" s="51"/>
      <c r="C57" s="51"/>
      <c r="D57" s="57"/>
      <c r="E57" s="57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</row>
    <row r="58" spans="1:47" ht="15.75">
      <c r="A58" s="51"/>
      <c r="B58" s="51"/>
      <c r="C58" s="51"/>
      <c r="D58" s="57"/>
      <c r="E58" s="57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</row>
    <row r="59" spans="1:47" ht="15.75">
      <c r="A59" s="51"/>
      <c r="B59" s="51"/>
      <c r="C59" s="51"/>
      <c r="D59" s="57"/>
      <c r="E59" s="57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7C4C-FE89-4410-8676-334F0478E22E}">
  <dimension ref="A1:D98"/>
  <sheetViews>
    <sheetView tabSelected="1" topLeftCell="A75" workbookViewId="0">
      <selection activeCell="G82" sqref="G82"/>
    </sheetView>
  </sheetViews>
  <sheetFormatPr defaultRowHeight="15.75"/>
  <cols>
    <col min="1" max="1" width="27" style="69" bestFit="1" customWidth="1"/>
    <col min="2" max="2" width="13.140625" style="69" bestFit="1" customWidth="1"/>
  </cols>
  <sheetData>
    <row r="1" spans="1:2" ht="17.25">
      <c r="A1" s="91" t="s">
        <v>200</v>
      </c>
      <c r="B1" s="91" t="s">
        <v>201</v>
      </c>
    </row>
    <row r="2" spans="1:2">
      <c r="A2" s="93" t="s">
        <v>202</v>
      </c>
      <c r="B2" s="99">
        <v>100</v>
      </c>
    </row>
    <row r="3" spans="1:2">
      <c r="A3" s="93" t="s">
        <v>203</v>
      </c>
      <c r="B3" s="99">
        <v>100</v>
      </c>
    </row>
    <row r="4" spans="1:2">
      <c r="A4" s="93" t="s">
        <v>24</v>
      </c>
      <c r="B4" s="99">
        <v>100</v>
      </c>
    </row>
    <row r="5" spans="1:2">
      <c r="A5" s="93" t="s">
        <v>39</v>
      </c>
      <c r="B5" s="99">
        <v>100</v>
      </c>
    </row>
    <row r="6" spans="1:2">
      <c r="A6" s="93" t="s">
        <v>28</v>
      </c>
      <c r="B6" s="99">
        <v>100</v>
      </c>
    </row>
    <row r="7" spans="1:2">
      <c r="A7" s="93" t="s">
        <v>15</v>
      </c>
      <c r="B7" s="99">
        <v>100</v>
      </c>
    </row>
    <row r="8" spans="1:2">
      <c r="A8" s="93" t="s">
        <v>9</v>
      </c>
      <c r="B8" s="99">
        <v>100</v>
      </c>
    </row>
    <row r="9" spans="1:2">
      <c r="A9" s="93" t="s">
        <v>204</v>
      </c>
      <c r="B9" s="99">
        <v>100</v>
      </c>
    </row>
    <row r="10" spans="1:2">
      <c r="A10" s="93" t="s">
        <v>205</v>
      </c>
      <c r="B10" s="99">
        <v>100</v>
      </c>
    </row>
    <row r="11" spans="1:2">
      <c r="A11" s="93" t="s">
        <v>206</v>
      </c>
      <c r="B11" s="99">
        <v>100</v>
      </c>
    </row>
    <row r="12" spans="1:2">
      <c r="A12" s="93" t="s">
        <v>207</v>
      </c>
      <c r="B12" s="99">
        <v>100</v>
      </c>
    </row>
    <row r="13" spans="1:2">
      <c r="A13" s="93" t="s">
        <v>34</v>
      </c>
      <c r="B13" s="99">
        <v>100</v>
      </c>
    </row>
    <row r="14" spans="1:2">
      <c r="A14" s="93" t="s">
        <v>190</v>
      </c>
      <c r="B14" s="99">
        <v>100</v>
      </c>
    </row>
    <row r="15" spans="1:2">
      <c r="A15" s="93" t="s">
        <v>208</v>
      </c>
      <c r="B15" s="99">
        <v>100</v>
      </c>
    </row>
    <row r="16" spans="1:2">
      <c r="A16" s="93" t="s">
        <v>209</v>
      </c>
      <c r="B16" s="99">
        <v>100</v>
      </c>
    </row>
    <row r="17" spans="1:2">
      <c r="A17" s="93" t="s">
        <v>210</v>
      </c>
      <c r="B17" s="99">
        <v>100</v>
      </c>
    </row>
    <row r="18" spans="1:2">
      <c r="A18" s="93" t="s">
        <v>211</v>
      </c>
      <c r="B18" s="99">
        <v>100</v>
      </c>
    </row>
    <row r="19" spans="1:2">
      <c r="A19" s="93" t="s">
        <v>99</v>
      </c>
      <c r="B19" s="99">
        <v>100</v>
      </c>
    </row>
    <row r="20" spans="1:2">
      <c r="A20" s="93" t="s">
        <v>67</v>
      </c>
      <c r="B20" s="99">
        <v>100</v>
      </c>
    </row>
    <row r="21" spans="1:2">
      <c r="A21" s="93" t="s">
        <v>138</v>
      </c>
      <c r="B21" s="99">
        <v>100</v>
      </c>
    </row>
    <row r="22" spans="1:2">
      <c r="A22" s="93" t="s">
        <v>30</v>
      </c>
      <c r="B22" s="99">
        <v>100</v>
      </c>
    </row>
    <row r="23" spans="1:2">
      <c r="A23" s="93" t="s">
        <v>53</v>
      </c>
      <c r="B23" s="99">
        <v>100</v>
      </c>
    </row>
    <row r="24" spans="1:2">
      <c r="A24" s="93" t="s">
        <v>212</v>
      </c>
      <c r="B24" s="99">
        <v>100</v>
      </c>
    </row>
    <row r="25" spans="1:2">
      <c r="A25" s="93" t="s">
        <v>213</v>
      </c>
      <c r="B25" s="99">
        <v>100</v>
      </c>
    </row>
    <row r="26" spans="1:2">
      <c r="A26" s="93" t="s">
        <v>214</v>
      </c>
      <c r="B26" s="99">
        <v>100</v>
      </c>
    </row>
    <row r="27" spans="1:2">
      <c r="A27" s="93" t="s">
        <v>215</v>
      </c>
      <c r="B27" s="99">
        <v>100</v>
      </c>
    </row>
    <row r="28" spans="1:2">
      <c r="A28" s="93" t="s">
        <v>51</v>
      </c>
      <c r="B28" s="99">
        <v>100</v>
      </c>
    </row>
    <row r="29" spans="1:2">
      <c r="A29" s="93" t="s">
        <v>216</v>
      </c>
      <c r="B29" s="99">
        <v>100</v>
      </c>
    </row>
    <row r="30" spans="1:2">
      <c r="A30" s="93" t="s">
        <v>31</v>
      </c>
      <c r="B30" s="99">
        <v>100</v>
      </c>
    </row>
    <row r="31" spans="1:2">
      <c r="A31" s="93" t="s">
        <v>217</v>
      </c>
      <c r="B31" s="99">
        <v>100</v>
      </c>
    </row>
    <row r="32" spans="1:2">
      <c r="A32" s="93" t="s">
        <v>55</v>
      </c>
      <c r="B32" s="99">
        <v>100</v>
      </c>
    </row>
    <row r="33" spans="1:2">
      <c r="A33" s="93" t="s">
        <v>218</v>
      </c>
      <c r="B33" s="99">
        <v>100</v>
      </c>
    </row>
    <row r="34" spans="1:2">
      <c r="A34" s="93" t="s">
        <v>35</v>
      </c>
      <c r="B34" s="99">
        <v>100</v>
      </c>
    </row>
    <row r="35" spans="1:2">
      <c r="A35" s="93" t="s">
        <v>41</v>
      </c>
      <c r="B35" s="99">
        <v>100</v>
      </c>
    </row>
    <row r="36" spans="1:2">
      <c r="A36" s="93" t="s">
        <v>140</v>
      </c>
      <c r="B36" s="99">
        <v>100</v>
      </c>
    </row>
    <row r="37" spans="1:2">
      <c r="A37" s="93" t="s">
        <v>56</v>
      </c>
      <c r="B37" s="99">
        <v>100</v>
      </c>
    </row>
    <row r="38" spans="1:2">
      <c r="A38" s="93" t="s">
        <v>219</v>
      </c>
      <c r="B38" s="99">
        <v>100</v>
      </c>
    </row>
    <row r="39" spans="1:2">
      <c r="A39" s="93" t="s">
        <v>220</v>
      </c>
      <c r="B39" s="99">
        <v>100</v>
      </c>
    </row>
    <row r="40" spans="1:2">
      <c r="A40" s="93" t="s">
        <v>64</v>
      </c>
      <c r="B40" s="99">
        <v>100</v>
      </c>
    </row>
    <row r="41" spans="1:2">
      <c r="A41" s="93" t="s">
        <v>221</v>
      </c>
      <c r="B41" s="99">
        <v>100</v>
      </c>
    </row>
    <row r="42" spans="1:2">
      <c r="A42" s="106" t="s">
        <v>49</v>
      </c>
      <c r="B42" s="107">
        <v>80</v>
      </c>
    </row>
    <row r="43" spans="1:2">
      <c r="A43" s="106" t="s">
        <v>222</v>
      </c>
      <c r="B43" s="107">
        <v>75</v>
      </c>
    </row>
    <row r="44" spans="1:2">
      <c r="A44" s="106" t="s">
        <v>223</v>
      </c>
      <c r="B44" s="107">
        <v>50</v>
      </c>
    </row>
    <row r="45" spans="1:2">
      <c r="A45" s="106" t="s">
        <v>58</v>
      </c>
      <c r="B45" s="107">
        <v>50</v>
      </c>
    </row>
    <row r="46" spans="1:2">
      <c r="A46" s="106" t="s">
        <v>224</v>
      </c>
      <c r="B46" s="107">
        <v>50</v>
      </c>
    </row>
    <row r="47" spans="1:2">
      <c r="A47" s="106" t="s">
        <v>225</v>
      </c>
      <c r="B47" s="107">
        <v>50</v>
      </c>
    </row>
    <row r="48" spans="1:2">
      <c r="A48" s="106" t="s">
        <v>71</v>
      </c>
      <c r="B48" s="107">
        <v>50</v>
      </c>
    </row>
    <row r="49" spans="1:2">
      <c r="A49" s="106" t="s">
        <v>226</v>
      </c>
      <c r="B49" s="107">
        <v>50</v>
      </c>
    </row>
    <row r="50" spans="1:2">
      <c r="A50" s="106" t="s">
        <v>227</v>
      </c>
      <c r="B50" s="107">
        <v>50</v>
      </c>
    </row>
    <row r="51" spans="1:2">
      <c r="A51" s="93" t="s">
        <v>228</v>
      </c>
      <c r="B51" s="99">
        <v>50</v>
      </c>
    </row>
    <row r="52" spans="1:2">
      <c r="A52" s="93" t="s">
        <v>229</v>
      </c>
      <c r="B52" s="99">
        <v>50</v>
      </c>
    </row>
    <row r="53" spans="1:2">
      <c r="A53" s="93" t="s">
        <v>230</v>
      </c>
      <c r="B53" s="99">
        <v>50</v>
      </c>
    </row>
    <row r="54" spans="1:2">
      <c r="A54" s="106" t="s">
        <v>231</v>
      </c>
      <c r="B54" s="107">
        <v>30</v>
      </c>
    </row>
    <row r="55" spans="1:2">
      <c r="A55" s="106" t="s">
        <v>232</v>
      </c>
      <c r="B55" s="107">
        <v>30</v>
      </c>
    </row>
    <row r="56" spans="1:2">
      <c r="A56" s="108" t="s">
        <v>233</v>
      </c>
      <c r="B56" s="107">
        <v>25</v>
      </c>
    </row>
    <row r="57" spans="1:2">
      <c r="A57" s="106" t="s">
        <v>234</v>
      </c>
      <c r="B57" s="107">
        <v>25</v>
      </c>
    </row>
    <row r="58" spans="1:2">
      <c r="A58" s="106" t="s">
        <v>69</v>
      </c>
      <c r="B58" s="107">
        <v>25</v>
      </c>
    </row>
    <row r="59" spans="1:2">
      <c r="A59" s="106" t="s">
        <v>235</v>
      </c>
      <c r="B59" s="109">
        <v>20</v>
      </c>
    </row>
    <row r="60" spans="1:2">
      <c r="A60" s="112" t="s">
        <v>236</v>
      </c>
      <c r="B60" s="113">
        <v>10</v>
      </c>
    </row>
    <row r="61" spans="1:2">
      <c r="A61" s="112" t="s">
        <v>237</v>
      </c>
      <c r="B61" s="113">
        <v>10</v>
      </c>
    </row>
    <row r="63" spans="1:2">
      <c r="B63" s="93"/>
    </row>
    <row r="64" spans="1:2">
      <c r="B64" s="93"/>
    </row>
    <row r="65" spans="1:2">
      <c r="A65" s="94" t="s">
        <v>73</v>
      </c>
      <c r="B65" s="100">
        <f>SUM(B1:B62)</f>
        <v>4830</v>
      </c>
    </row>
    <row r="66" spans="1:2">
      <c r="B66" s="93"/>
    </row>
    <row r="67" spans="1:2">
      <c r="A67" s="94" t="s">
        <v>238</v>
      </c>
      <c r="B67" s="101">
        <v>290.66000000000003</v>
      </c>
    </row>
    <row r="68" spans="1:2">
      <c r="A68" s="95" t="s">
        <v>239</v>
      </c>
      <c r="B68" s="101">
        <v>91.96</v>
      </c>
    </row>
    <row r="70" spans="1:2">
      <c r="A70" s="96" t="s">
        <v>240</v>
      </c>
      <c r="B70" s="102">
        <f>SUM(B65:B68)</f>
        <v>5212.62</v>
      </c>
    </row>
    <row r="71" spans="1:2">
      <c r="A71" s="93"/>
    </row>
    <row r="72" spans="1:2">
      <c r="A72" s="93"/>
    </row>
    <row r="73" spans="1:2">
      <c r="A73" s="110" t="s">
        <v>6</v>
      </c>
    </row>
    <row r="74" spans="1:2">
      <c r="A74" s="93" t="s">
        <v>241</v>
      </c>
      <c r="B74" s="99">
        <v>500</v>
      </c>
    </row>
    <row r="75" spans="1:2">
      <c r="A75" s="93" t="s">
        <v>242</v>
      </c>
      <c r="B75" s="103">
        <v>669.21</v>
      </c>
    </row>
    <row r="76" spans="1:2">
      <c r="A76" s="93" t="s">
        <v>243</v>
      </c>
      <c r="B76" s="103">
        <v>363.6</v>
      </c>
    </row>
    <row r="77" spans="1:2">
      <c r="A77" s="93" t="s">
        <v>244</v>
      </c>
      <c r="B77" s="103">
        <v>463.92</v>
      </c>
    </row>
    <row r="78" spans="1:2">
      <c r="A78" s="93" t="s">
        <v>245</v>
      </c>
      <c r="B78" s="103">
        <v>99.76</v>
      </c>
    </row>
    <row r="79" spans="1:2">
      <c r="A79" s="93" t="s">
        <v>246</v>
      </c>
      <c r="B79" s="103">
        <v>300</v>
      </c>
    </row>
    <row r="80" spans="1:2">
      <c r="A80" s="93" t="s">
        <v>247</v>
      </c>
      <c r="B80" s="103">
        <v>34.43</v>
      </c>
    </row>
    <row r="81" spans="1:4" ht="17.25">
      <c r="A81" s="93" t="s">
        <v>248</v>
      </c>
      <c r="B81" s="103">
        <v>158</v>
      </c>
      <c r="D81" s="92"/>
    </row>
    <row r="82" spans="1:4">
      <c r="A82" s="93" t="s">
        <v>249</v>
      </c>
      <c r="B82" s="103">
        <v>20</v>
      </c>
    </row>
    <row r="83" spans="1:4">
      <c r="A83" s="93" t="s">
        <v>250</v>
      </c>
      <c r="B83" s="103">
        <v>150</v>
      </c>
    </row>
    <row r="84" spans="1:4">
      <c r="A84" s="93" t="s">
        <v>251</v>
      </c>
      <c r="B84" s="103">
        <v>400</v>
      </c>
    </row>
    <row r="85" spans="1:4">
      <c r="A85" s="93" t="s">
        <v>252</v>
      </c>
      <c r="B85" s="103">
        <v>15.09</v>
      </c>
    </row>
    <row r="86" spans="1:4">
      <c r="A86" s="93" t="s">
        <v>253</v>
      </c>
      <c r="B86" s="111">
        <v>30</v>
      </c>
    </row>
    <row r="87" spans="1:4">
      <c r="A87" s="93" t="s">
        <v>254</v>
      </c>
      <c r="B87" s="111">
        <v>200</v>
      </c>
    </row>
    <row r="88" spans="1:4">
      <c r="A88" s="93" t="s">
        <v>255</v>
      </c>
      <c r="B88" s="111">
        <v>425</v>
      </c>
    </row>
    <row r="89" spans="1:4">
      <c r="A89" s="93" t="s">
        <v>256</v>
      </c>
      <c r="B89" s="111">
        <v>35</v>
      </c>
    </row>
    <row r="90" spans="1:4">
      <c r="A90" s="93" t="s">
        <v>257</v>
      </c>
      <c r="B90" s="111">
        <v>75</v>
      </c>
    </row>
    <row r="91" spans="1:4">
      <c r="A91" s="93" t="s">
        <v>258</v>
      </c>
      <c r="B91" s="111">
        <v>50</v>
      </c>
    </row>
    <row r="92" spans="1:4">
      <c r="A92" s="93"/>
      <c r="B92" s="111"/>
    </row>
    <row r="93" spans="1:4">
      <c r="A93" s="93"/>
    </row>
    <row r="94" spans="1:4">
      <c r="A94" s="97" t="s">
        <v>109</v>
      </c>
      <c r="B94" s="104">
        <f>SUM(B74:B93)</f>
        <v>3989.01</v>
      </c>
    </row>
    <row r="95" spans="1:4">
      <c r="A95" s="93"/>
    </row>
    <row r="96" spans="1:4">
      <c r="A96" s="93"/>
    </row>
    <row r="97" spans="1:2">
      <c r="A97" s="93"/>
    </row>
    <row r="98" spans="1:2">
      <c r="A98" s="98" t="s">
        <v>110</v>
      </c>
      <c r="B98" s="105">
        <f>B70-B94</f>
        <v>1223.6099999999997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Kamche</cp:lastModifiedBy>
  <cp:revision/>
  <dcterms:created xsi:type="dcterms:W3CDTF">2023-12-04T09:14:15Z</dcterms:created>
  <dcterms:modified xsi:type="dcterms:W3CDTF">2026-05-20T12:01:52Z</dcterms:modified>
  <cp:category/>
  <cp:contentStatus/>
</cp:coreProperties>
</file>